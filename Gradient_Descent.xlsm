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hermofisher-my.sharepoint.com/personal/alexander_ley_thermofisher_com/Documents/XL examples/"/>
    </mc:Choice>
  </mc:AlternateContent>
  <xr:revisionPtr revIDLastSave="9079" documentId="6_{0C3F010B-E7B8-4418-A0A2-351B480C882C}" xr6:coauthVersionLast="40" xr6:coauthVersionMax="40" xr10:uidLastSave="{824C982F-0EB1-4016-B1D6-A3B1F02CF2C5}"/>
  <bookViews>
    <workbookView xWindow="0" yWindow="0" windowWidth="20460" windowHeight="6750" activeTab="1" xr2:uid="{1DC5B40B-6F1E-452F-B3E5-35BF3670328C}"/>
  </bookViews>
  <sheets>
    <sheet name="Sheet1" sheetId="1" r:id="rId1"/>
    <sheet name="Sheet2" sheetId="2" r:id="rId2"/>
  </sheets>
  <definedNames>
    <definedName name="avg_loss" localSheetId="1">Sheet2!$C$18</definedName>
    <definedName name="avg_loss">Sheet1!$C$18</definedName>
    <definedName name="b_curr" localSheetId="1">Sheet2!$G$6</definedName>
    <definedName name="b_curr">Sheet1!$G$6</definedName>
    <definedName name="b_deriv" localSheetId="1">Sheet2!$G$16</definedName>
    <definedName name="b_deriv">Sheet1!$G$16</definedName>
    <definedName name="b_i" localSheetId="1">Sheet2!$D$21</definedName>
    <definedName name="b_i">Sheet1!$D$21</definedName>
    <definedName name="iter" localSheetId="1">Sheet2!$B$21</definedName>
    <definedName name="iter">Sheet1!$B$21</definedName>
    <definedName name="iterations" localSheetId="1">Sheet2!$Q$21</definedName>
    <definedName name="iterations">Sheet1!$K$21</definedName>
    <definedName name="learning_rate" localSheetId="1">Sheet2!$S$21</definedName>
    <definedName name="learning_rate">Sheet1!$M$21</definedName>
    <definedName name="loss" localSheetId="1">Sheet2!$C$10:$M$10</definedName>
    <definedName name="loss">Sheet1!$C$10:$G$10</definedName>
    <definedName name="loss_i" localSheetId="1">Sheet2!$E$21</definedName>
    <definedName name="loss_i">Sheet1!$E$21</definedName>
    <definedName name="loss_sqrd" localSheetId="1">Sheet2!$C$12:$M$12</definedName>
    <definedName name="loss_sqrd">Sheet1!$C$12:$G$12</definedName>
    <definedName name="m_curr" localSheetId="1">Sheet2!$E$6</definedName>
    <definedName name="m_curr">Sheet1!$E$6</definedName>
    <definedName name="m_deriv" localSheetId="1">Sheet2!$D$16</definedName>
    <definedName name="m_deriv">Sheet1!$D$16</definedName>
    <definedName name="m_i" localSheetId="1">Sheet2!$C$21</definedName>
    <definedName name="m_i">Sheet1!$C$21</definedName>
    <definedName name="x_act" localSheetId="1">Sheet2!$C$3:$M$3</definedName>
    <definedName name="x_act">Sheet1!$C$3:$G$3</definedName>
    <definedName name="x_times_loss" localSheetId="1">Sheet2!$C$14:$M$14</definedName>
    <definedName name="x_times_loss">Sheet1!$C$14:$G$14</definedName>
    <definedName name="y_act" localSheetId="1">Sheet2!$C$4:$M$4</definedName>
    <definedName name="y_act">Sheet1!$C$4:$G$4</definedName>
    <definedName name="y_pred" localSheetId="1">Sheet2!$C$8:$M$8</definedName>
    <definedName name="y_pred">Sheet1!$C$8:$G$8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2" l="1"/>
  <c r="C18" i="2" a="1"/>
  <c r="C18" i="1" l="1" a="1"/>
  <c r="C8" i="1"/>
  <c r="C14" i="1" s="1"/>
  <c r="J8" i="2" l="1"/>
  <c r="J10" i="2" s="1"/>
  <c r="D8" i="2"/>
  <c r="D10" i="2" s="1"/>
  <c r="G8" i="1"/>
  <c r="G14" i="1" s="1"/>
  <c r="E8" i="2"/>
  <c r="E10" i="2" s="1"/>
  <c r="F8" i="2"/>
  <c r="F10" i="2" s="1"/>
  <c r="G8" i="2"/>
  <c r="G10" i="2" s="1"/>
  <c r="H8" i="2"/>
  <c r="H10" i="2" s="1"/>
  <c r="I8" i="2"/>
  <c r="I10" i="2" s="1"/>
  <c r="K8" i="2"/>
  <c r="K10" i="2" s="1"/>
  <c r="L8" i="2"/>
  <c r="L10" i="2" s="1"/>
  <c r="M8" i="2"/>
  <c r="M10" i="2" s="1"/>
  <c r="D8" i="1"/>
  <c r="D14" i="1" s="1"/>
  <c r="E8" i="1"/>
  <c r="E14" i="1" s="1"/>
  <c r="F8" i="1"/>
  <c r="F14" i="1" s="1"/>
  <c r="C10" i="2" l="1"/>
  <c r="C18" i="2" s="1"/>
  <c r="L14" i="2"/>
  <c r="L12" i="2"/>
  <c r="K14" i="2"/>
  <c r="K12" i="2"/>
  <c r="F14" i="2"/>
  <c r="F12" i="2"/>
  <c r="D14" i="2"/>
  <c r="D12" i="2"/>
  <c r="I14" i="2"/>
  <c r="I12" i="2"/>
  <c r="E14" i="2"/>
  <c r="E12" i="2"/>
  <c r="J14" i="2"/>
  <c r="J12" i="2"/>
  <c r="G14" i="2"/>
  <c r="G12" i="2"/>
  <c r="M14" i="2"/>
  <c r="M12" i="2"/>
  <c r="H14" i="2"/>
  <c r="H12" i="2"/>
  <c r="G10" i="1"/>
  <c r="G12" i="1" s="1"/>
  <c r="E10" i="1"/>
  <c r="E12" i="1" s="1"/>
  <c r="F10" i="1"/>
  <c r="F12" i="1" s="1"/>
  <c r="C10" i="1"/>
  <c r="D10" i="1"/>
  <c r="D12" i="1" s="1"/>
  <c r="G16" i="2" l="1"/>
  <c r="C14" i="2"/>
  <c r="D16" i="2" s="1"/>
  <c r="C12" i="2"/>
  <c r="D18" i="2" s="1"/>
  <c r="C12" i="1"/>
  <c r="D18" i="1" s="1"/>
  <c r="C18" i="1"/>
  <c r="D16" i="1"/>
  <c r="G16" i="1"/>
</calcChain>
</file>

<file path=xl/sharedStrings.xml><?xml version="1.0" encoding="utf-8"?>
<sst xmlns="http://schemas.openxmlformats.org/spreadsheetml/2006/main" count="36" uniqueCount="17">
  <si>
    <t>m</t>
  </si>
  <si>
    <t>b</t>
  </si>
  <si>
    <t>y_act</t>
  </si>
  <si>
    <t>y_pred</t>
  </si>
  <si>
    <t>loss</t>
  </si>
  <si>
    <t>m=</t>
  </si>
  <si>
    <t>b=</t>
  </si>
  <si>
    <t>avg_loss</t>
  </si>
  <si>
    <t>x_act</t>
  </si>
  <si>
    <t>iteration</t>
  </si>
  <si>
    <t>iterations</t>
  </si>
  <si>
    <t>learning_rate</t>
  </si>
  <si>
    <t>y = mx + b</t>
  </si>
  <si>
    <t>x_act * loss</t>
  </si>
  <si>
    <t>m_deriv</t>
  </si>
  <si>
    <t>b_deriv</t>
  </si>
  <si>
    <t>loss^2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</si>
</sst>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right" vertical="center" indent="1"/>
    </xf>
    <xf numFmtId="0" fontId="0" fillId="0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left"/>
    </xf>
    <xf numFmtId="0" fontId="1" fillId="4" borderId="3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 indent="1"/>
    </xf>
    <xf numFmtId="0" fontId="0" fillId="3" borderId="0" xfId="0" applyFill="1" applyBorder="1" applyAlignment="1">
      <alignment horizontal="center" vertical="center"/>
    </xf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y_act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Sheet1!$C$3:$G$3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Sheet1!$C$4:$G$4</c:f>
              <c:numCache>
                <c:formatCode>General</c:formatCode>
                <c:ptCount val="5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6-4542-9BB8-64327DF01DF6}"/>
            </c:ext>
          </c:extLst>
        </c:ser>
        <c:ser>
          <c:idx val="1"/>
          <c:order val="1"/>
          <c:tx>
            <c:strRef>
              <c:f>Sheet1!$B$8</c:f>
              <c:strCache>
                <c:ptCount val="1"/>
                <c:pt idx="0">
                  <c:v>y_pred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Sheet1!$C$3:$G$3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Sheet1!$C$8:$G$8</c:f>
              <c:numCache>
                <c:formatCode>General</c:formatCode>
                <c:ptCount val="5"/>
                <c:pt idx="0">
                  <c:v>4.9997850951991261</c:v>
                </c:pt>
                <c:pt idx="1">
                  <c:v>6.9998675732882667</c:v>
                </c:pt>
                <c:pt idx="2">
                  <c:v>8.9999500513774091</c:v>
                </c:pt>
                <c:pt idx="3">
                  <c:v>11.00003252946655</c:v>
                </c:pt>
                <c:pt idx="4">
                  <c:v>13.00011500755569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1E-4A3E-8FB2-4E58EBC4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16928"/>
        <c:axId val="505919880"/>
      </c:scatterChart>
      <c:valAx>
        <c:axId val="50591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9880"/>
        <c:crosses val="autoZero"/>
        <c:crossBetween val="midCat"/>
      </c:valAx>
      <c:valAx>
        <c:axId val="5059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Sheet1!$E$21</c:f>
              <c:strCache>
                <c:ptCount val="1"/>
                <c:pt idx="0">
                  <c:v>avg_loss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Sheet1!$B$22:$B$521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Sheet1!$E$22:$E$521</c:f>
              <c:numCache>
                <c:formatCode>General</c:formatCode>
                <c:ptCount val="500"/>
                <c:pt idx="0">
                  <c:v>2.492900000000001</c:v>
                </c:pt>
                <c:pt idx="1">
                  <c:v>1.60136009</c:v>
                </c:pt>
                <c:pt idx="2">
                  <c:v>1.5455875734890003</c:v>
                </c:pt>
                <c:pt idx="3">
                  <c:v>1.4886758506596565</c:v>
                </c:pt>
                <c:pt idx="4">
                  <c:v>1.4346962282329918</c:v>
                </c:pt>
                <c:pt idx="5">
                  <c:v>1.3826032966912674</c:v>
                </c:pt>
                <c:pt idx="6">
                  <c:v>1.332408222179426</c:v>
                </c:pt>
                <c:pt idx="7">
                  <c:v>1.2840348923551117</c:v>
                </c:pt>
                <c:pt idx="8">
                  <c:v>1.2374178170937591</c:v>
                </c:pt>
                <c:pt idx="9">
                  <c:v>1.1924931769336162</c:v>
                </c:pt>
                <c:pt idx="10">
                  <c:v>1.1491995330178726</c:v>
                </c:pt>
                <c:pt idx="11">
                  <c:v>1.1074776713099863</c:v>
                </c:pt>
                <c:pt idx="12">
                  <c:v>1.0672705280633099</c:v>
                </c:pt>
                <c:pt idx="13">
                  <c:v>1.0285231111927042</c:v>
                </c:pt>
                <c:pt idx="14">
                  <c:v>0.99118242511311794</c:v>
                </c:pt>
                <c:pt idx="15">
                  <c:v>0.9551973982518005</c:v>
                </c:pt>
                <c:pt idx="16">
                  <c:v>0.92051881319715978</c:v>
                </c:pt>
                <c:pt idx="17">
                  <c:v>0.88709923938311841</c:v>
                </c:pt>
                <c:pt idx="18">
                  <c:v>0.85489296821743266</c:v>
                </c:pt>
                <c:pt idx="19">
                  <c:v>0.82385595056516314</c:v>
                </c:pt>
                <c:pt idx="20">
                  <c:v>0.79394573650183475</c:v>
                </c:pt>
                <c:pt idx="21">
                  <c:v>0.76512141725385452</c:v>
                </c:pt>
                <c:pt idx="22">
                  <c:v>0.73734356924680744</c:v>
                </c:pt>
                <c:pt idx="23">
                  <c:v>0.71057420018506567</c:v>
                </c:pt>
                <c:pt idx="24">
                  <c:v>0.68477669708900313</c:v>
                </c:pt>
                <c:pt idx="25">
                  <c:v>0.65991577621872</c:v>
                </c:pt>
                <c:pt idx="26">
                  <c:v>0.63595743481579747</c:v>
                </c:pt>
                <c:pt idx="27">
                  <c:v>0.61286890459706544</c:v>
                </c:pt>
                <c:pt idx="28">
                  <c:v>0.59061860693679891</c:v>
                </c:pt>
                <c:pt idx="29">
                  <c:v>0.56917610967602639</c:v>
                </c:pt>
                <c:pt idx="30">
                  <c:v>0.54851208549987696</c:v>
                </c:pt>
                <c:pt idx="31">
                  <c:v>0.52859827182605479</c:v>
                </c:pt>
                <c:pt idx="32">
                  <c:v>0.50940743214955853</c:v>
                </c:pt>
                <c:pt idx="33">
                  <c:v>0.49091331879079492</c:v>
                </c:pt>
                <c:pt idx="34">
                  <c:v>0.47309063699612042</c:v>
                </c:pt>
                <c:pt idx="35">
                  <c:v>0.45591501034172327</c:v>
                </c:pt>
                <c:pt idx="36">
                  <c:v>0.439362947393521</c:v>
                </c:pt>
                <c:pt idx="37">
                  <c:v>0.42341180957747387</c:v>
                </c:pt>
                <c:pt idx="38">
                  <c:v>0.40803978021637449</c:v>
                </c:pt>
                <c:pt idx="39">
                  <c:v>0.39322583469075995</c:v>
                </c:pt>
                <c:pt idx="40">
                  <c:v>0.37894971168313563</c:v>
                </c:pt>
                <c:pt idx="41">
                  <c:v>0.36519188546618064</c:v>
                </c:pt>
                <c:pt idx="42">
                  <c:v>0.35193353919704073</c:v>
                </c:pt>
                <c:pt idx="43">
                  <c:v>0.33915653918116717</c:v>
                </c:pt>
                <c:pt idx="44">
                  <c:v>0.32684341007051654</c:v>
                </c:pt>
                <c:pt idx="45">
                  <c:v>0.31497731096218173</c:v>
                </c:pt>
                <c:pt idx="46">
                  <c:v>0.30354201236476552</c:v>
                </c:pt>
                <c:pt idx="47">
                  <c:v>0.29252187400099539</c:v>
                </c:pt>
                <c:pt idx="48">
                  <c:v>0.28190182341621267</c:v>
                </c:pt>
                <c:pt idx="49">
                  <c:v>0.27166733536349208</c:v>
                </c:pt>
                <c:pt idx="50">
                  <c:v>0.26180441193717957</c:v>
                </c:pt>
                <c:pt idx="51">
                  <c:v>0.25229956342768811</c:v>
                </c:pt>
                <c:pt idx="52">
                  <c:v>0.24313978987136448</c:v>
                </c:pt>
                <c:pt idx="53">
                  <c:v>0.23431256327018907</c:v>
                </c:pt>
                <c:pt idx="54">
                  <c:v>0.22580581045699272</c:v>
                </c:pt>
                <c:pt idx="55">
                  <c:v>0.21760789658275409</c:v>
                </c:pt>
                <c:pt idx="56">
                  <c:v>0.20970760920339346</c:v>
                </c:pt>
                <c:pt idx="57">
                  <c:v>0.2020941429442987</c:v>
                </c:pt>
                <c:pt idx="58">
                  <c:v>0.19475708472160497</c:v>
                </c:pt>
                <c:pt idx="59">
                  <c:v>0.18768639950002336</c:v>
                </c:pt>
                <c:pt idx="60">
                  <c:v>0.18087241656772773</c:v>
                </c:pt>
                <c:pt idx="61">
                  <c:v>0.17430581630953795</c:v>
                </c:pt>
                <c:pt idx="62">
                  <c:v>0.16797761746030304</c:v>
                </c:pt>
                <c:pt idx="63">
                  <c:v>0.16187916482105336</c:v>
                </c:pt>
                <c:pt idx="64">
                  <c:v>0.1560021174211178</c:v>
                </c:pt>
                <c:pt idx="65">
                  <c:v>0.15033843711001807</c:v>
                </c:pt>
                <c:pt idx="66">
                  <c:v>0.14488037756353772</c:v>
                </c:pt>
                <c:pt idx="67">
                  <c:v>0.13962047368892333</c:v>
                </c:pt>
                <c:pt idx="68">
                  <c:v>0.13455153141473794</c:v>
                </c:pt>
                <c:pt idx="69">
                  <c:v>0.12966661785138672</c:v>
                </c:pt>
                <c:pt idx="70">
                  <c:v>0.12495905180887353</c:v>
                </c:pt>
                <c:pt idx="71">
                  <c:v>0.12042239465880948</c:v>
                </c:pt>
                <c:pt idx="72">
                  <c:v>0.11605044152817678</c:v>
                </c:pt>
                <c:pt idx="73">
                  <c:v>0.11183721281280434</c:v>
                </c:pt>
                <c:pt idx="74">
                  <c:v>0.10777694599894916</c:v>
                </c:pt>
                <c:pt idx="75">
                  <c:v>0.1038640877817945</c:v>
                </c:pt>
                <c:pt idx="76">
                  <c:v>0.10009328647009097</c:v>
                </c:pt>
                <c:pt idx="77">
                  <c:v>9.6459384666542872E-2</c:v>
                </c:pt>
                <c:pt idx="78">
                  <c:v>9.2957412213938523E-2</c:v>
                </c:pt>
                <c:pt idx="79">
                  <c:v>8.9582579397370729E-2</c:v>
                </c:pt>
                <c:pt idx="80">
                  <c:v>8.633027039325096E-2</c:v>
                </c:pt>
                <c:pt idx="81">
                  <c:v>8.3196036956160596E-2</c:v>
                </c:pt>
                <c:pt idx="82">
                  <c:v>8.0175592334898321E-2</c:v>
                </c:pt>
                <c:pt idx="83">
                  <c:v>7.7264805409409956E-2</c:v>
                </c:pt>
                <c:pt idx="84">
                  <c:v>7.4459695040574841E-2</c:v>
                </c:pt>
                <c:pt idx="85">
                  <c:v>7.1756424625126464E-2</c:v>
                </c:pt>
                <c:pt idx="86">
                  <c:v>6.9151296848256688E-2</c:v>
                </c:pt>
                <c:pt idx="87">
                  <c:v>6.6640748626726865E-2</c:v>
                </c:pt>
                <c:pt idx="88">
                  <c:v>6.4221346235570326E-2</c:v>
                </c:pt>
                <c:pt idx="89">
                  <c:v>6.1889780611721623E-2</c:v>
                </c:pt>
                <c:pt idx="90">
                  <c:v>5.964286282814648E-2</c:v>
                </c:pt>
                <c:pt idx="91">
                  <c:v>5.7477519732286195E-2</c:v>
                </c:pt>
                <c:pt idx="92">
                  <c:v>5.5390789742847543E-2</c:v>
                </c:pt>
                <c:pt idx="93">
                  <c:v>5.3379818799190258E-2</c:v>
                </c:pt>
                <c:pt idx="94">
                  <c:v>5.1441856457775978E-2</c:v>
                </c:pt>
                <c:pt idx="95">
                  <c:v>4.9574252130330523E-2</c:v>
                </c:pt>
                <c:pt idx="96">
                  <c:v>4.7774451458586324E-2</c:v>
                </c:pt>
                <c:pt idx="97">
                  <c:v>4.6039992820636089E-2</c:v>
                </c:pt>
                <c:pt idx="98">
                  <c:v>4.4368503964125887E-2</c:v>
                </c:pt>
                <c:pt idx="99">
                  <c:v>4.2757698761679494E-2</c:v>
                </c:pt>
                <c:pt idx="100">
                  <c:v>4.1205374084119464E-2</c:v>
                </c:pt>
                <c:pt idx="101">
                  <c:v>3.9709406787202882E-2</c:v>
                </c:pt>
                <c:pt idx="102">
                  <c:v>3.8267750807758467E-2</c:v>
                </c:pt>
                <c:pt idx="103">
                  <c:v>3.6878434365245814E-2</c:v>
                </c:pt>
                <c:pt idx="104">
                  <c:v>3.5539557264912425E-2</c:v>
                </c:pt>
                <c:pt idx="105">
                  <c:v>3.4249288298862979E-2</c:v>
                </c:pt>
                <c:pt idx="106">
                  <c:v>3.3005862741478882E-2</c:v>
                </c:pt>
                <c:pt idx="107">
                  <c:v>3.18075799357707E-2</c:v>
                </c:pt>
                <c:pt idx="108">
                  <c:v>3.0652800967356723E-2</c:v>
                </c:pt>
                <c:pt idx="109">
                  <c:v>2.9539946422887754E-2</c:v>
                </c:pt>
                <c:pt idx="110">
                  <c:v>2.8467494229853459E-2</c:v>
                </c:pt>
                <c:pt idx="111">
                  <c:v>2.7433977574815201E-2</c:v>
                </c:pt>
                <c:pt idx="112">
                  <c:v>2.6437982897216095E-2</c:v>
                </c:pt>
                <c:pt idx="113">
                  <c:v>2.5478147956027753E-2</c:v>
                </c:pt>
                <c:pt idx="114">
                  <c:v>2.4553159966587114E-2</c:v>
                </c:pt>
                <c:pt idx="115">
                  <c:v>2.3661753805075368E-2</c:v>
                </c:pt>
                <c:pt idx="116">
                  <c:v>2.2802710278184486E-2</c:v>
                </c:pt>
                <c:pt idx="117">
                  <c:v>2.1974854455601947E-2</c:v>
                </c:pt>
                <c:pt idx="118">
                  <c:v>2.1177054063037503E-2</c:v>
                </c:pt>
                <c:pt idx="119">
                  <c:v>2.0408217933588341E-2</c:v>
                </c:pt>
                <c:pt idx="120">
                  <c:v>1.9667294515330593E-2</c:v>
                </c:pt>
                <c:pt idx="121">
                  <c:v>1.895327043309088E-2</c:v>
                </c:pt>
                <c:pt idx="122">
                  <c:v>1.8265169102433448E-2</c:v>
                </c:pt>
                <c:pt idx="123">
                  <c:v>1.7602049393967586E-2</c:v>
                </c:pt>
                <c:pt idx="124">
                  <c:v>1.6963004346146188E-2</c:v>
                </c:pt>
                <c:pt idx="125">
                  <c:v>1.6347159924797468E-2</c:v>
                </c:pt>
                <c:pt idx="126">
                  <c:v>1.5753673827691873E-2</c:v>
                </c:pt>
                <c:pt idx="127">
                  <c:v>1.5181734332508421E-2</c:v>
                </c:pt>
                <c:pt idx="128">
                  <c:v>1.463055918662709E-2</c:v>
                </c:pt>
                <c:pt idx="129">
                  <c:v>1.4099394537226844E-2</c:v>
                </c:pt>
                <c:pt idx="130">
                  <c:v>1.3587513900226666E-2</c:v>
                </c:pt>
                <c:pt idx="131">
                  <c:v>1.3094217166658725E-2</c:v>
                </c:pt>
                <c:pt idx="132">
                  <c:v>1.2618829645117189E-2</c:v>
                </c:pt>
                <c:pt idx="133">
                  <c:v>1.2160701138968394E-2</c:v>
                </c:pt>
                <c:pt idx="134">
                  <c:v>1.1719205057065769E-2</c:v>
                </c:pt>
                <c:pt idx="135">
                  <c:v>1.1293737556747976E-2</c:v>
                </c:pt>
                <c:pt idx="136">
                  <c:v>1.0883716717952397E-2</c:v>
                </c:pt>
                <c:pt idx="137">
                  <c:v>1.048858174731199E-2</c:v>
                </c:pt>
                <c:pt idx="138">
                  <c:v>1.0107792211146507E-2</c:v>
                </c:pt>
                <c:pt idx="139">
                  <c:v>9.7408272963022714E-3</c:v>
                </c:pt>
                <c:pt idx="140">
                  <c:v>9.3871850978251396E-3</c:v>
                </c:pt>
                <c:pt idx="141">
                  <c:v>9.0463819324958367E-3</c:v>
                </c:pt>
                <c:pt idx="142">
                  <c:v>8.7179516772868254E-3</c:v>
                </c:pt>
                <c:pt idx="143">
                  <c:v>8.4014451318373158E-3</c:v>
                </c:pt>
                <c:pt idx="144">
                  <c:v>8.0964294040730255E-3</c:v>
                </c:pt>
                <c:pt idx="145">
                  <c:v>7.8024873181315761E-3</c:v>
                </c:pt>
                <c:pt idx="146">
                  <c:v>7.5192168437827143E-3</c:v>
                </c:pt>
                <c:pt idx="147">
                  <c:v>7.2462305465642741E-3</c:v>
                </c:pt>
                <c:pt idx="148">
                  <c:v>6.9831550578804595E-3</c:v>
                </c:pt>
                <c:pt idx="149">
                  <c:v>6.7296305643384045E-3</c:v>
                </c:pt>
                <c:pt idx="150">
                  <c:v>6.48531031562459E-3</c:v>
                </c:pt>
                <c:pt idx="151">
                  <c:v>6.2498601502474199E-3</c:v>
                </c:pt>
                <c:pt idx="152">
                  <c:v>6.0229580384989455E-3</c:v>
                </c:pt>
                <c:pt idx="153">
                  <c:v>5.8042936420078942E-3</c:v>
                </c:pt>
                <c:pt idx="154">
                  <c:v>5.5935678892839969E-3</c:v>
                </c:pt>
                <c:pt idx="155">
                  <c:v>5.3904925666726795E-3</c:v>
                </c:pt>
                <c:pt idx="156">
                  <c:v>5.1947899241593463E-3</c:v>
                </c:pt>
                <c:pt idx="157">
                  <c:v>5.006192295485253E-3</c:v>
                </c:pt>
                <c:pt idx="158">
                  <c:v>4.8244417320555547E-3</c:v>
                </c:pt>
                <c:pt idx="159">
                  <c:v>4.6492896501377397E-3</c:v>
                </c:pt>
                <c:pt idx="160">
                  <c:v>4.4804964908692268E-3</c:v>
                </c:pt>
                <c:pt idx="161">
                  <c:v>4.3178313926079369E-3</c:v>
                </c:pt>
                <c:pt idx="162">
                  <c:v>4.161071875178138E-3</c:v>
                </c:pt>
                <c:pt idx="163">
                  <c:v>4.0100035355805103E-3</c:v>
                </c:pt>
                <c:pt idx="164">
                  <c:v>3.8644197547488138E-3</c:v>
                </c:pt>
                <c:pt idx="165">
                  <c:v>3.7241214149531256E-3</c:v>
                </c:pt>
                <c:pt idx="166">
                  <c:v>3.588916627462497E-3</c:v>
                </c:pt>
                <c:pt idx="167">
                  <c:v>3.4586204700951459E-3</c:v>
                </c:pt>
                <c:pt idx="168">
                  <c:v>3.3330547342970847E-3</c:v>
                </c:pt>
                <c:pt idx="169">
                  <c:v>3.2120476814024301E-3</c:v>
                </c:pt>
                <c:pt idx="170">
                  <c:v>3.0954338077434952E-3</c:v>
                </c:pt>
                <c:pt idx="171">
                  <c:v>2.9830536182880716E-3</c:v>
                </c:pt>
                <c:pt idx="172">
                  <c:v>2.874753408495087E-3</c:v>
                </c:pt>
                <c:pt idx="173">
                  <c:v>2.7703850540899333E-3</c:v>
                </c:pt>
                <c:pt idx="174">
                  <c:v>2.6698058084720575E-3</c:v>
                </c:pt>
                <c:pt idx="175">
                  <c:v>2.572878107477544E-3</c:v>
                </c:pt>
                <c:pt idx="176">
                  <c:v>2.4794693812302915E-3</c:v>
                </c:pt>
                <c:pt idx="177">
                  <c:v>2.3894518728234571E-3</c:v>
                </c:pt>
                <c:pt idx="178">
                  <c:v>2.30270246358365E-3</c:v>
                </c:pt>
                <c:pt idx="179">
                  <c:v>2.2191025046798115E-3</c:v>
                </c:pt>
                <c:pt idx="180">
                  <c:v>2.1385376548442208E-3</c:v>
                </c:pt>
                <c:pt idx="181">
                  <c:v>2.06089772398614E-3</c:v>
                </c:pt>
                <c:pt idx="182">
                  <c:v>1.9860765224827045E-3</c:v>
                </c:pt>
                <c:pt idx="183">
                  <c:v>1.9139717159411332E-3</c:v>
                </c:pt>
                <c:pt idx="184">
                  <c:v>1.8444846852342842E-3</c:v>
                </c:pt>
                <c:pt idx="185">
                  <c:v>1.7775203916171225E-3</c:v>
                </c:pt>
                <c:pt idx="186">
                  <c:v>1.7129872467406201E-3</c:v>
                </c:pt>
                <c:pt idx="187">
                  <c:v>1.6507969873844255E-3</c:v>
                </c:pt>
                <c:pt idx="188">
                  <c:v>1.5908645547377768E-3</c:v>
                </c:pt>
                <c:pt idx="189">
                  <c:v>1.5331079780628188E-3</c:v>
                </c:pt>
                <c:pt idx="190">
                  <c:v>1.4774482625814656E-3</c:v>
                </c:pt>
                <c:pt idx="191">
                  <c:v>1.4238092814331219E-3</c:v>
                </c:pt>
                <c:pt idx="192">
                  <c:v>1.372117671554218E-3</c:v>
                </c:pt>
                <c:pt idx="193">
                  <c:v>1.3223027333382489E-3</c:v>
                </c:pt>
                <c:pt idx="194">
                  <c:v>1.2742963339385E-3</c:v>
                </c:pt>
                <c:pt idx="195">
                  <c:v>1.2280328140816272E-3</c:v>
                </c:pt>
                <c:pt idx="196">
                  <c:v>1.183448898263825E-3</c:v>
                </c:pt>
                <c:pt idx="197">
                  <c:v>1.1404836082082013E-3</c:v>
                </c:pt>
                <c:pt idx="198">
                  <c:v>1.0990781794632785E-3</c:v>
                </c:pt>
                <c:pt idx="199">
                  <c:v>1.0591759810297378E-3</c:v>
                </c:pt>
                <c:pt idx="200">
                  <c:v>1.0207224379053686E-3</c:v>
                </c:pt>
                <c:pt idx="201">
                  <c:v>9.8366495644146312E-4</c:v>
                </c:pt>
                <c:pt idx="202">
                  <c:v>9.4795285240971655E-4</c:v>
                </c:pt>
                <c:pt idx="203">
                  <c:v>9.1353728168031348E-4</c:v>
                </c:pt>
                <c:pt idx="204">
                  <c:v>8.8037117341691897E-4</c:v>
                </c:pt>
                <c:pt idx="205">
                  <c:v>8.48409165696987E-4</c:v>
                </c:pt>
                <c:pt idx="206">
                  <c:v>8.1760754346932101E-4</c:v>
                </c:pt>
                <c:pt idx="207">
                  <c:v>7.8792417876440428E-4</c:v>
                </c:pt>
                <c:pt idx="208">
                  <c:v>7.593184730747528E-4</c:v>
                </c:pt>
                <c:pt idx="209">
                  <c:v>7.3175130182799824E-4</c:v>
                </c:pt>
                <c:pt idx="210">
                  <c:v>7.0518496087508878E-4</c:v>
                </c:pt>
                <c:pt idx="211">
                  <c:v>6.7958311492188612E-4</c:v>
                </c:pt>
                <c:pt idx="212">
                  <c:v>6.5491074783245783E-4</c:v>
                </c:pt>
                <c:pt idx="213">
                  <c:v>6.3113411473706652E-4</c:v>
                </c:pt>
                <c:pt idx="214">
                  <c:v>6.0822069587845255E-4</c:v>
                </c:pt>
                <c:pt idx="215">
                  <c:v>5.8613915213405715E-4</c:v>
                </c:pt>
                <c:pt idx="216">
                  <c:v>5.6485928215292442E-4</c:v>
                </c:pt>
                <c:pt idx="217">
                  <c:v>5.4435198104856616E-4</c:v>
                </c:pt>
                <c:pt idx="218">
                  <c:v>5.2458920059187016E-4</c:v>
                </c:pt>
                <c:pt idx="219">
                  <c:v>5.0554391084885555E-4</c:v>
                </c:pt>
                <c:pt idx="220">
                  <c:v>4.8719006321140288E-4</c:v>
                </c:pt>
                <c:pt idx="221">
                  <c:v>4.6950255476991155E-4</c:v>
                </c:pt>
                <c:pt idx="222">
                  <c:v>4.5245719397983319E-4</c:v>
                </c:pt>
                <c:pt idx="223">
                  <c:v>4.3603066757414647E-4</c:v>
                </c:pt>
                <c:pt idx="224">
                  <c:v>4.2020050867759622E-4</c:v>
                </c:pt>
                <c:pt idx="225">
                  <c:v>4.0494506607814082E-4</c:v>
                </c:pt>
                <c:pt idx="226">
                  <c:v>3.9024347461427835E-4</c:v>
                </c:pt>
                <c:pt idx="227">
                  <c:v>3.7607562663731774E-4</c:v>
                </c:pt>
                <c:pt idx="228">
                  <c:v>3.6242214450974238E-4</c:v>
                </c:pt>
                <c:pt idx="229">
                  <c:v>3.4926435410217977E-4</c:v>
                </c:pt>
                <c:pt idx="230">
                  <c:v>3.3658425925218619E-4</c:v>
                </c:pt>
                <c:pt idx="231">
                  <c:v>3.2436451715083306E-4</c:v>
                </c:pt>
                <c:pt idx="232">
                  <c:v>3.1258841462238654E-4</c:v>
                </c:pt>
                <c:pt idx="233">
                  <c:v>3.0123984526548187E-4</c:v>
                </c:pt>
                <c:pt idx="234">
                  <c:v>2.9030328742413934E-4</c:v>
                </c:pt>
                <c:pt idx="235">
                  <c:v>2.7976378295836875E-4</c:v>
                </c:pt>
                <c:pt idx="236">
                  <c:v>2.6960691678569535E-4</c:v>
                </c:pt>
                <c:pt idx="237">
                  <c:v>2.5981879716541065E-4</c:v>
                </c:pt>
                <c:pt idx="238">
                  <c:v>2.5038603669852747E-4</c:v>
                </c:pt>
                <c:pt idx="239">
                  <c:v>2.4129573401760057E-4</c:v>
                </c:pt>
                <c:pt idx="240">
                  <c:v>2.3253545614125765E-4</c:v>
                </c:pt>
                <c:pt idx="241">
                  <c:v>2.2409322146938127E-4</c:v>
                </c:pt>
                <c:pt idx="242">
                  <c:v>2.1595748339562948E-4</c:v>
                </c:pt>
                <c:pt idx="243">
                  <c:v>2.0811711451498662E-4</c:v>
                </c:pt>
                <c:pt idx="244">
                  <c:v>2.0056139140451327E-4</c:v>
                </c:pt>
                <c:pt idx="245">
                  <c:v>1.9327997995675951E-4</c:v>
                </c:pt>
                <c:pt idx="246">
                  <c:v>1.8626292124558465E-4</c:v>
                </c:pt>
                <c:pt idx="247">
                  <c:v>1.7950061790518901E-4</c:v>
                </c:pt>
                <c:pt idx="248">
                  <c:v>1.7298382100353787E-4</c:v>
                </c:pt>
                <c:pt idx="249">
                  <c:v>1.6670361739251667E-4</c:v>
                </c:pt>
                <c:pt idx="250">
                  <c:v>1.6065141751712853E-4</c:v>
                </c:pt>
                <c:pt idx="251">
                  <c:v>1.548189436675222E-4</c:v>
                </c:pt>
                <c:pt idx="252">
                  <c:v>1.4919821865729991E-4</c:v>
                </c:pt>
                <c:pt idx="253">
                  <c:v>1.4378155491306168E-4</c:v>
                </c:pt>
                <c:pt idx="254">
                  <c:v>1.3856154395985987E-4</c:v>
                </c:pt>
                <c:pt idx="255">
                  <c:v>1.335310462885854E-4</c:v>
                </c:pt>
                <c:pt idx="256">
                  <c:v>1.2868318159105278E-4</c:v>
                </c:pt>
                <c:pt idx="257">
                  <c:v>1.2401131934974054E-4</c:v>
                </c:pt>
                <c:pt idx="258">
                  <c:v>1.1950906976898549E-4</c:v>
                </c:pt>
                <c:pt idx="259">
                  <c:v>1.1517027503569476E-4</c:v>
                </c:pt>
                <c:pt idx="260">
                  <c:v>1.1098900089706681E-4</c:v>
                </c:pt>
                <c:pt idx="261">
                  <c:v>1.069595285442525E-4</c:v>
                </c:pt>
                <c:pt idx="262">
                  <c:v>1.030763467905998E-4</c:v>
                </c:pt>
                <c:pt idx="263">
                  <c:v>9.933414453393275E-5</c:v>
                </c:pt>
                <c:pt idx="264">
                  <c:v>9.5727803492436228E-5</c:v>
                </c:pt>
                <c:pt idx="265">
                  <c:v>9.2252391204261568E-5</c:v>
                </c:pt>
                <c:pt idx="266">
                  <c:v>8.890315428137637E-5</c:v>
                </c:pt>
                <c:pt idx="267">
                  <c:v>8.5675511908176488E-5</c:v>
                </c:pt>
                <c:pt idx="268">
                  <c:v>8.2565049576261397E-5</c:v>
                </c:pt>
                <c:pt idx="269">
                  <c:v>7.9567513046623908E-5</c:v>
                </c:pt>
                <c:pt idx="270">
                  <c:v>7.6678802531052558E-5</c:v>
                </c:pt>
                <c:pt idx="271">
                  <c:v>7.3894967084755885E-5</c:v>
                </c:pt>
                <c:pt idx="272">
                  <c:v>7.1212199202596593E-5</c:v>
                </c:pt>
                <c:pt idx="273">
                  <c:v>6.8626829611455247E-5</c:v>
                </c:pt>
                <c:pt idx="274">
                  <c:v>6.6135322251757467E-5</c:v>
                </c:pt>
                <c:pt idx="275">
                  <c:v>6.3734269441074172E-5</c:v>
                </c:pt>
                <c:pt idx="276">
                  <c:v>6.1420387213425391E-5</c:v>
                </c:pt>
                <c:pt idx="277">
                  <c:v>5.9190510827702018E-5</c:v>
                </c:pt>
                <c:pt idx="278">
                  <c:v>5.7041590439182686E-5</c:v>
                </c:pt>
                <c:pt idx="279">
                  <c:v>5.4970686928222214E-5</c:v>
                </c:pt>
                <c:pt idx="280">
                  <c:v>5.2974967880373265E-5</c:v>
                </c:pt>
                <c:pt idx="281">
                  <c:v>5.1051703712391225E-5</c:v>
                </c:pt>
                <c:pt idx="282">
                  <c:v>4.9198263938982478E-5</c:v>
                </c:pt>
                <c:pt idx="283">
                  <c:v>4.7412113575014071E-5</c:v>
                </c:pt>
                <c:pt idx="284">
                  <c:v>4.5690809668364572E-5</c:v>
                </c:pt>
                <c:pt idx="285">
                  <c:v>4.4031997958661257E-5</c:v>
                </c:pt>
                <c:pt idx="286">
                  <c:v>4.2433409657302863E-5</c:v>
                </c:pt>
                <c:pt idx="287">
                  <c:v>4.0892858344394585E-5</c:v>
                </c:pt>
                <c:pt idx="288">
                  <c:v>3.9408236978361426E-5</c:v>
                </c:pt>
                <c:pt idx="289">
                  <c:v>3.7977515014078915E-5</c:v>
                </c:pt>
                <c:pt idx="290">
                  <c:v>3.6598735625661837E-5</c:v>
                </c:pt>
                <c:pt idx="291">
                  <c:v>3.5270013030091044E-5</c:v>
                </c:pt>
                <c:pt idx="292">
                  <c:v>3.3989529907986885E-5</c:v>
                </c:pt>
                <c:pt idx="293">
                  <c:v>3.2755534918013124E-5</c:v>
                </c:pt>
                <c:pt idx="294">
                  <c:v>3.156634030154526E-5</c:v>
                </c:pt>
                <c:pt idx="295">
                  <c:v>3.0420319574295578E-5</c:v>
                </c:pt>
                <c:pt idx="296">
                  <c:v>2.9315905301722946E-5</c:v>
                </c:pt>
                <c:pt idx="297">
                  <c:v>2.8251586955256186E-5</c:v>
                </c:pt>
                <c:pt idx="298">
                  <c:v>2.7225908846261044E-5</c:v>
                </c:pt>
                <c:pt idx="299">
                  <c:v>2.6237468135108396E-5</c:v>
                </c:pt>
                <c:pt idx="300">
                  <c:v>2.5284912912489158E-5</c:v>
                </c:pt>
                <c:pt idx="301">
                  <c:v>2.436694035033457E-5</c:v>
                </c:pt>
                <c:pt idx="302">
                  <c:v>2.3482294919969674E-5</c:v>
                </c:pt>
                <c:pt idx="303">
                  <c:v>2.2629766674862627E-5</c:v>
                </c:pt>
                <c:pt idx="304">
                  <c:v>2.1808189595783092E-5</c:v>
                </c:pt>
                <c:pt idx="305">
                  <c:v>2.1016439995995483E-5</c:v>
                </c:pt>
                <c:pt idx="306">
                  <c:v>2.0253434984379968E-5</c:v>
                </c:pt>
                <c:pt idx="307">
                  <c:v>1.9518130984350202E-5</c:v>
                </c:pt>
                <c:pt idx="308">
                  <c:v>1.8809522306515715E-5</c:v>
                </c:pt>
                <c:pt idx="309">
                  <c:v>1.8126639773189787E-5</c:v>
                </c:pt>
                <c:pt idx="310">
                  <c:v>1.7468549392833794E-5</c:v>
                </c:pt>
                <c:pt idx="311">
                  <c:v>1.6834351082609862E-5</c:v>
                </c:pt>
                <c:pt idx="312">
                  <c:v>1.6223177437324952E-5</c:v>
                </c:pt>
                <c:pt idx="313">
                  <c:v>1.5634192543056626E-5</c:v>
                </c:pt>
                <c:pt idx="314">
                  <c:v>1.5066590833857235E-5</c:v>
                </c:pt>
                <c:pt idx="315">
                  <c:v>1.4519595989996952E-5</c:v>
                </c:pt>
                <c:pt idx="316">
                  <c:v>1.3992459876123863E-5</c:v>
                </c:pt>
                <c:pt idx="317">
                  <c:v>1.3484461518057656E-5</c:v>
                </c:pt>
                <c:pt idx="318">
                  <c:v>1.2994906116707133E-5</c:v>
                </c:pt>
                <c:pt idx="319">
                  <c:v>1.2523124097755037E-5</c:v>
                </c:pt>
                <c:pt idx="320">
                  <c:v>1.2068470195884081E-5</c:v>
                </c:pt>
                <c:pt idx="321">
                  <c:v>1.1630322572227459E-5</c:v>
                </c:pt>
                <c:pt idx="322">
                  <c:v>1.1208081963875664E-5</c:v>
                </c:pt>
                <c:pt idx="323">
                  <c:v>1.0801170864248635E-5</c:v>
                </c:pt>
                <c:pt idx="324">
                  <c:v>1.0409032733226021E-5</c:v>
                </c:pt>
                <c:pt idx="325">
                  <c:v>1.0031131235970795E-5</c:v>
                </c:pt>
                <c:pt idx="326">
                  <c:v>9.666949509347594E-6</c:v>
                </c:pt>
                <c:pt idx="327">
                  <c:v>9.3159894550267059E-6</c:v>
                </c:pt>
                <c:pt idx="328">
                  <c:v>8.9777710582041126E-6</c:v>
                </c:pt>
                <c:pt idx="329">
                  <c:v>8.6518317310942272E-6</c:v>
                </c:pt>
                <c:pt idx="330">
                  <c:v>8.3377256802246397E-6</c:v>
                </c:pt>
                <c:pt idx="331">
                  <c:v>8.0350232967273912E-6</c:v>
                </c:pt>
                <c:pt idx="332">
                  <c:v>7.7433105687356425E-6</c:v>
                </c:pt>
                <c:pt idx="333">
                  <c:v>7.462188515166078E-6</c:v>
                </c:pt>
                <c:pt idx="334">
                  <c:v>7.1912726399861806E-6</c:v>
                </c:pt>
                <c:pt idx="335">
                  <c:v>6.9301924063580357E-6</c:v>
                </c:pt>
                <c:pt idx="336">
                  <c:v>6.6785907298348709E-6</c:v>
                </c:pt>
                <c:pt idx="337">
                  <c:v>6.4361234899826277E-6</c:v>
                </c:pt>
                <c:pt idx="338">
                  <c:v>6.20245905970103E-6</c:v>
                </c:pt>
                <c:pt idx="339">
                  <c:v>5.9772778516650502E-6</c:v>
                </c:pt>
                <c:pt idx="340">
                  <c:v>5.7602718812207068E-6</c:v>
                </c:pt>
                <c:pt idx="341">
                  <c:v>5.5511443451337189E-6</c:v>
                </c:pt>
                <c:pt idx="342">
                  <c:v>5.3496092156696588E-6</c:v>
                </c:pt>
                <c:pt idx="343">
                  <c:v>5.1553908493566559E-6</c:v>
                </c:pt>
                <c:pt idx="344">
                  <c:v>4.9682236100101983E-6</c:v>
                </c:pt>
                <c:pt idx="345">
                  <c:v>4.7878515054121053E-6</c:v>
                </c:pt>
                <c:pt idx="346">
                  <c:v>4.6140278371689749E-6</c:v>
                </c:pt>
                <c:pt idx="347">
                  <c:v>4.4465148633198692E-6</c:v>
                </c:pt>
                <c:pt idx="348">
                  <c:v>4.2850834731507536E-6</c:v>
                </c:pt>
                <c:pt idx="349">
                  <c:v>4.129512873859151E-6</c:v>
                </c:pt>
                <c:pt idx="350">
                  <c:v>3.9795902885460859E-6</c:v>
                </c:pt>
                <c:pt idx="351">
                  <c:v>3.8351106652167582E-6</c:v>
                </c:pt>
                <c:pt idx="352">
                  <c:v>3.6958763963200433E-6</c:v>
                </c:pt>
                <c:pt idx="353">
                  <c:v>3.5616970484735418E-6</c:v>
                </c:pt>
                <c:pt idx="354">
                  <c:v>3.4323891020107357E-6</c:v>
                </c:pt>
                <c:pt idx="355">
                  <c:v>3.3077756999720668E-6</c:v>
                </c:pt>
                <c:pt idx="356">
                  <c:v>3.1876864062181843E-6</c:v>
                </c:pt>
                <c:pt idx="357">
                  <c:v>3.0719569723141812E-6</c:v>
                </c:pt>
                <c:pt idx="358">
                  <c:v>2.9604291128946339E-6</c:v>
                </c:pt>
                <c:pt idx="359">
                  <c:v>2.8529502891709457E-6</c:v>
                </c:pt>
                <c:pt idx="360">
                  <c:v>2.7493735002875604E-6</c:v>
                </c:pt>
                <c:pt idx="361">
                  <c:v>2.6495570822878506E-6</c:v>
                </c:pt>
                <c:pt idx="362">
                  <c:v>2.553364514339394E-6</c:v>
                </c:pt>
                <c:pt idx="363">
                  <c:v>2.4606642320227698E-6</c:v>
                </c:pt>
                <c:pt idx="364">
                  <c:v>2.3713294473829049E-6</c:v>
                </c:pt>
                <c:pt idx="365">
                  <c:v>2.2852379755225176E-6</c:v>
                </c:pt>
                <c:pt idx="366">
                  <c:v>2.2022720674807281E-6</c:v>
                </c:pt>
                <c:pt idx="367">
                  <c:v>2.1223182491950683E-6</c:v>
                </c:pt>
                <c:pt idx="368">
                  <c:v>2.0452671662969662E-6</c:v>
                </c:pt>
                <c:pt idx="369">
                  <c:v>1.9710134345383827E-6</c:v>
                </c:pt>
                <c:pt idx="370">
                  <c:v>1.8994554956678114E-6</c:v>
                </c:pt>
                <c:pt idx="371">
                  <c:v>1.830495478519966E-6</c:v>
                </c:pt>
                <c:pt idx="372">
                  <c:v>1.7640390651531936E-6</c:v>
                </c:pt>
                <c:pt idx="373">
                  <c:v>1.699995361859477E-6</c:v>
                </c:pt>
                <c:pt idx="374">
                  <c:v>1.6382767748354827E-6</c:v>
                </c:pt>
                <c:pt idx="375">
                  <c:v>1.5787988903861738E-6</c:v>
                </c:pt>
                <c:pt idx="376">
                  <c:v>1.5214803594695463E-6</c:v>
                </c:pt>
                <c:pt idx="377">
                  <c:v>1.4662427864273248E-6</c:v>
                </c:pt>
                <c:pt idx="378">
                  <c:v>1.4130106217739805E-6</c:v>
                </c:pt>
                <c:pt idx="379">
                  <c:v>1.3617110588568923E-6</c:v>
                </c:pt>
                <c:pt idx="380">
                  <c:v>1.3122739342781093E-6</c:v>
                </c:pt>
                <c:pt idx="381">
                  <c:v>1.2646316319362427E-6</c:v>
                </c:pt>
                <c:pt idx="382">
                  <c:v>1.2187189905369682E-6</c:v>
                </c:pt>
                <c:pt idx="383">
                  <c:v>1.174473214482157E-6</c:v>
                </c:pt>
                <c:pt idx="384">
                  <c:v>1.1318337879742634E-6</c:v>
                </c:pt>
                <c:pt idx="385">
                  <c:v>1.0907423922529478E-6</c:v>
                </c:pt>
                <c:pt idx="386">
                  <c:v>1.0511428258269331E-6</c:v>
                </c:pt>
                <c:pt idx="387">
                  <c:v>1.0129809276086015E-6</c:v>
                </c:pt>
                <c:pt idx="388">
                  <c:v>9.7620450283896421E-7</c:v>
                </c:pt>
                <c:pt idx="389">
                  <c:v>9.4076325169557292E-7</c:v>
                </c:pt>
                <c:pt idx="390">
                  <c:v>9.0660870050052981E-7</c:v>
                </c:pt>
                <c:pt idx="391">
                  <c:v>8.7369413541721624E-7</c:v>
                </c:pt>
                <c:pt idx="392">
                  <c:v>8.4197453856586598E-7</c:v>
                </c:pt>
                <c:pt idx="393">
                  <c:v>8.114065264425199E-7</c:v>
                </c:pt>
                <c:pt idx="394">
                  <c:v>7.8194829059323088E-7</c:v>
                </c:pt>
                <c:pt idx="395">
                  <c:v>7.5355954042112472E-7</c:v>
                </c:pt>
                <c:pt idx="396">
                  <c:v>7.2620144809019862E-7</c:v>
                </c:pt>
                <c:pt idx="397">
                  <c:v>6.9983659541079587E-7</c:v>
                </c:pt>
                <c:pt idx="398">
                  <c:v>6.7442892266907952E-7</c:v>
                </c:pt>
                <c:pt idx="399">
                  <c:v>6.4994367930391941E-7</c:v>
                </c:pt>
                <c:pt idx="400">
                  <c:v>6.2634737637718139E-7</c:v>
                </c:pt>
                <c:pt idx="401">
                  <c:v>6.036077407737349E-7</c:v>
                </c:pt>
                <c:pt idx="402">
                  <c:v>5.8169367105816585E-7</c:v>
                </c:pt>
                <c:pt idx="403">
                  <c:v>5.6057519493448485E-7</c:v>
                </c:pt>
                <c:pt idx="404">
                  <c:v>5.4022342826063638E-7</c:v>
                </c:pt>
                <c:pt idx="405">
                  <c:v>5.206105355330582E-7</c:v>
                </c:pt>
                <c:pt idx="406">
                  <c:v>5.0170969182264189E-7</c:v>
                </c:pt>
                <c:pt idx="407">
                  <c:v>4.8349504608333061E-7</c:v>
                </c:pt>
                <c:pt idx="408">
                  <c:v>4.6594168579403799E-7</c:v>
                </c:pt>
                <c:pt idx="409">
                  <c:v>4.4902560288759457E-7</c:v>
                </c:pt>
                <c:pt idx="410">
                  <c:v>4.3272366091160445E-7</c:v>
                </c:pt>
                <c:pt idx="411">
                  <c:v>4.1701356338897067E-7</c:v>
                </c:pt>
                <c:pt idx="412">
                  <c:v>4.018738233168154E-7</c:v>
                </c:pt>
                <c:pt idx="413">
                  <c:v>3.8728373378341183E-7</c:v>
                </c:pt>
                <c:pt idx="414">
                  <c:v>3.7322333964165482E-7</c:v>
                </c:pt>
                <c:pt idx="415">
                  <c:v>3.5967341022135292E-7</c:v>
                </c:pt>
                <c:pt idx="416">
                  <c:v>3.4661541302536943E-7</c:v>
                </c:pt>
                <c:pt idx="417">
                  <c:v>3.3403148837909762E-7</c:v>
                </c:pt>
                <c:pt idx="418">
                  <c:v>3.2190442500776502E-7</c:v>
                </c:pt>
                <c:pt idx="419">
                  <c:v>3.1021763649395651E-7</c:v>
                </c:pt>
                <c:pt idx="420">
                  <c:v>2.9895513859387488E-7</c:v>
                </c:pt>
                <c:pt idx="421">
                  <c:v>2.8810152737150322E-7</c:v>
                </c:pt>
                <c:pt idx="422">
                  <c:v>2.7764195813546561E-7</c:v>
                </c:pt>
                <c:pt idx="423">
                  <c:v>2.6756212513143911E-7</c:v>
                </c:pt>
                <c:pt idx="424">
                  <c:v>2.5784824197925846E-7</c:v>
                </c:pt>
                <c:pt idx="425">
                  <c:v>2.4848702281445799E-7</c:v>
                </c:pt>
                <c:pt idx="426">
                  <c:v>2.3946566411802288E-7</c:v>
                </c:pt>
                <c:pt idx="427">
                  <c:v>2.3077182720436931E-7</c:v>
                </c:pt>
                <c:pt idx="428">
                  <c:v>2.223936213459637E-7</c:v>
                </c:pt>
                <c:pt idx="429">
                  <c:v>2.1431958751022471E-7</c:v>
                </c:pt>
                <c:pt idx="430">
                  <c:v>2.0653868268562842E-7</c:v>
                </c:pt>
                <c:pt idx="431">
                  <c:v>1.9904026478015093E-7</c:v>
                </c:pt>
                <c:pt idx="432">
                  <c:v>1.9181407806287983E-7</c:v>
                </c:pt>
                <c:pt idx="433">
                  <c:v>1.848502391399707E-7</c:v>
                </c:pt>
                <c:pt idx="434">
                  <c:v>1.781392234356266E-7</c:v>
                </c:pt>
                <c:pt idx="435">
                  <c:v>1.7167185216453461E-7</c:v>
                </c:pt>
                <c:pt idx="436">
                  <c:v>1.6543927977928911E-7</c:v>
                </c:pt>
                <c:pt idx="437">
                  <c:v>1.5943298187131133E-7</c:v>
                </c:pt>
                <c:pt idx="438">
                  <c:v>1.5364474351068108E-7</c:v>
                </c:pt>
                <c:pt idx="439">
                  <c:v>1.4806664801354468E-7</c:v>
                </c:pt>
                <c:pt idx="440">
                  <c:v>1.426910661114496E-7</c:v>
                </c:pt>
                <c:pt idx="441">
                  <c:v>1.3751064551807857E-7</c:v>
                </c:pt>
                <c:pt idx="442">
                  <c:v>1.3251830087257274E-7</c:v>
                </c:pt>
                <c:pt idx="443">
                  <c:v>1.2770720404951063E-7</c:v>
                </c:pt>
                <c:pt idx="444">
                  <c:v>1.2307077481951195E-7</c:v>
                </c:pt>
                <c:pt idx="445">
                  <c:v>1.186026718490493E-7</c:v>
                </c:pt>
                <c:pt idx="446">
                  <c:v>1.1429678402884959E-7</c:v>
                </c:pt>
                <c:pt idx="447">
                  <c:v>1.1014722211216118E-7</c:v>
                </c:pt>
                <c:pt idx="448">
                  <c:v>1.0614831066465289E-7</c:v>
                </c:pt>
                <c:pt idx="449">
                  <c:v>1.0229458029794359E-7</c:v>
                </c:pt>
                <c:pt idx="450">
                  <c:v>9.8580760191283866E-8</c:v>
                </c:pt>
                <c:pt idx="451">
                  <c:v>9.5001770881746652E-8</c:v>
                </c:pt>
                <c:pt idx="452">
                  <c:v>9.1552717316582037E-8</c:v>
                </c:pt>
                <c:pt idx="453">
                  <c:v>8.8228882159151916E-8</c:v>
                </c:pt>
                <c:pt idx="454">
                  <c:v>8.5025719336904942E-8</c:v>
                </c:pt>
                <c:pt idx="455">
                  <c:v>8.1938847821840974E-8</c:v>
                </c:pt>
                <c:pt idx="456">
                  <c:v>7.8964045641039745E-8</c:v>
                </c:pt>
                <c:pt idx="457">
                  <c:v>7.6097244100148075E-8</c:v>
                </c:pt>
                <c:pt idx="458">
                  <c:v>7.3334522219988169E-8</c:v>
                </c:pt>
                <c:pt idx="459">
                  <c:v>7.0672101372977255E-8</c:v>
                </c:pt>
                <c:pt idx="460">
                  <c:v>6.8106340114332723E-8</c:v>
                </c:pt>
                <c:pt idx="461">
                  <c:v>6.5633729204180469E-8</c:v>
                </c:pt>
                <c:pt idx="462">
                  <c:v>6.3250886804477613E-8</c:v>
                </c:pt>
                <c:pt idx="463">
                  <c:v>6.0954553856177037E-8</c:v>
                </c:pt>
                <c:pt idx="464">
                  <c:v>5.8741589620393687E-8</c:v>
                </c:pt>
                <c:pt idx="465">
                  <c:v>5.66089673837676E-8</c:v>
                </c:pt>
                <c:pt idx="466">
                  <c:v>5.4553770317945364E-8</c:v>
                </c:pt>
                <c:pt idx="467">
                  <c:v>5.2573187490105843E-8</c:v>
                </c:pt>
                <c:pt idx="468">
                  <c:v>5.0664510019761252E-8</c:v>
                </c:pt>
                <c:pt idx="469">
                  <c:v>4.8825127371422941E-8</c:v>
                </c:pt>
                <c:pt idx="470">
                  <c:v>4.7052523786562022E-8</c:v>
                </c:pt>
                <c:pt idx="471">
                  <c:v>4.5344274841199213E-8</c:v>
                </c:pt>
                <c:pt idx="472">
                  <c:v>4.3698044130562664E-8</c:v>
                </c:pt>
                <c:pt idx="473">
                  <c:v>4.2111580072823491E-8</c:v>
                </c:pt>
                <c:pt idx="474">
                  <c:v>4.058271283142049E-8</c:v>
                </c:pt>
                <c:pt idx="475">
                  <c:v>3.910935134499853E-8</c:v>
                </c:pt>
                <c:pt idx="476">
                  <c:v>3.7689480468478989E-8</c:v>
                </c:pt>
                <c:pt idx="477">
                  <c:v>3.6321158217511657E-8</c:v>
                </c:pt>
                <c:pt idx="478">
                  <c:v>3.5002513111483306E-8</c:v>
                </c:pt>
                <c:pt idx="479">
                  <c:v>3.3731741614087605E-8</c:v>
                </c:pt>
                <c:pt idx="480">
                  <c:v>3.2507105666841813E-8</c:v>
                </c:pt>
                <c:pt idx="481">
                  <c:v>3.1326930311603394E-8</c:v>
                </c:pt>
                <c:pt idx="482">
                  <c:v>3.0189601400074324E-8</c:v>
                </c:pt>
                <c:pt idx="483">
                  <c:v>2.9093563385482843E-8</c:v>
                </c:pt>
                <c:pt idx="484">
                  <c:v>2.8037317195630743E-8</c:v>
                </c:pt>
                <c:pt idx="485">
                  <c:v>2.7019418182483696E-8</c:v>
                </c:pt>
                <c:pt idx="486">
                  <c:v>2.6038474145894738E-8</c:v>
                </c:pt>
                <c:pt idx="487">
                  <c:v>2.5093143430097166E-8</c:v>
                </c:pt>
                <c:pt idx="488">
                  <c:v>2.4182133087572834E-8</c:v>
                </c:pt>
                <c:pt idx="489">
                  <c:v>2.3304197112779407E-8</c:v>
                </c:pt>
                <c:pt idx="490">
                  <c:v>2.2458134735399459E-8</c:v>
                </c:pt>
                <c:pt idx="491">
                  <c:v>2.1642788779662712E-8</c:v>
                </c:pt>
                <c:pt idx="492">
                  <c:v>2.0857044081313707E-8</c:v>
                </c:pt>
                <c:pt idx="493">
                  <c:v>2.0099825962303519E-8</c:v>
                </c:pt>
                <c:pt idx="494">
                  <c:v>1.9370098760950854E-8</c:v>
                </c:pt>
                <c:pt idx="495">
                  <c:v>1.8666864415169408E-8</c:v>
                </c:pt>
                <c:pt idx="496">
                  <c:v>1.7989161098020914E-8</c:v>
                </c:pt>
                <c:pt idx="497">
                  <c:v>1.7336061901687067E-8</c:v>
                </c:pt>
                <c:pt idx="498">
                  <c:v>1.6706673569628417E-8</c:v>
                </c:pt>
                <c:pt idx="499">
                  <c:v>1.61001352755554E-8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16-46DD-A538-BAC245A93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15727"/>
        <c:axId val="11101605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Sheet1!$C$21</c15:sqref>
                        </c15:formulaRef>
                      </c:ext>
                    </c:extLst>
                    <c:strCache>
                      <c:ptCount val="1"/>
                      <c:pt idx="0">
                        <c:v>m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Sheet1!$B$22:$B$521</c15:sqref>
                        </c15:formulaRef>
                      </c:ext>
                    </c:extLst>
                    <c:numCache>
                      <c:formatCode>General</c:formatCode>
                      <c:ptCount val="5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Sheet1!$C$22:$C$521</c15:sqref>
                        </c15:formulaRef>
                      </c:ext>
                    </c:extLst>
                    <c:numCache>
                      <c:formatCode>General</c:formatCode>
                      <c:ptCount val="500"/>
                      <c:pt idx="0">
                        <c:v>3.1</c:v>
                      </c:pt>
                      <c:pt idx="1">
                        <c:v>2.7989999999999999</c:v>
                      </c:pt>
                      <c:pt idx="2">
                        <c:v>2.8101099999999999</c:v>
                      </c:pt>
                      <c:pt idx="3">
                        <c:v>2.7929078999999999</c:v>
                      </c:pt>
                      <c:pt idx="4">
                        <c:v>2.7785979310000002</c:v>
                      </c:pt>
                      <c:pt idx="5">
                        <c:v>2.76431386959</c:v>
                      </c:pt>
                      <c:pt idx="6">
                        <c:v>2.7503131577251003</c:v>
                      </c:pt>
                      <c:pt idx="7">
                        <c:v>2.7365669586384387</c:v>
                      </c:pt>
                      <c:pt idx="8">
                        <c:v>2.7230727773834698</c:v>
                      </c:pt>
                      <c:pt idx="9">
                        <c:v>2.7098257981487475</c:v>
                      </c:pt>
                      <c:pt idx="10">
                        <c:v>2.6968215103168975</c:v>
                      </c:pt>
                      <c:pt idx="11">
                        <c:v>2.6840554660154261</c:v>
                      </c:pt>
                      <c:pt idx="12">
                        <c:v>2.6715233006822499</c:v>
                      </c:pt>
                      <c:pt idx="13">
                        <c:v>2.6592207295485908</c:v>
                      </c:pt>
                      <c:pt idx="14">
                        <c:v>2.6471435463596484</c:v>
                      </c:pt>
                      <c:pt idx="15">
                        <c:v>2.6352876219194603</c:v>
                      </c:pt>
                      <c:pt idx="16">
                        <c:v>2.6236489026806877</c:v>
                      </c:pt>
                      <c:pt idx="17">
                        <c:v>2.6122234093585637</c:v>
                      </c:pt>
                      <c:pt idx="18">
                        <c:v>2.6010072355703837</c:v>
                      </c:pt>
                      <c:pt idx="19">
                        <c:v>2.5899965464999122</c:v>
                      </c:pt>
                      <c:pt idx="20">
                        <c:v>2.5791875775862563</c:v>
                      </c:pt>
                      <c:pt idx="21">
                        <c:v>2.5685766332367601</c:v>
                      </c:pt>
                      <c:pt idx="22">
                        <c:v>2.5581600855634798</c:v>
                      </c:pt>
                      <c:pt idx="23">
                        <c:v>2.5479343731428052</c:v>
                      </c:pt>
                      <c:pt idx="24">
                        <c:v>2.5378959997978097</c:v>
                      </c:pt>
                      <c:pt idx="25">
                        <c:v>2.5280415334029032</c:v>
                      </c:pt>
                      <c:pt idx="26">
                        <c:v>2.5183676047103871</c:v>
                      </c:pt>
                      <c:pt idx="27">
                        <c:v>2.5088709061985055</c:v>
                      </c:pt>
                      <c:pt idx="28">
                        <c:v>2.4995481909406045</c:v>
                      </c:pt>
                      <c:pt idx="29">
                        <c:v>2.4903962714950039</c:v>
                      </c:pt>
                      <c:pt idx="30">
                        <c:v>2.4814120188152078</c:v>
                      </c:pt>
                      <c:pt idx="31">
                        <c:v>2.4725923611800855</c:v>
                      </c:pt>
                      <c:pt idx="32">
                        <c:v>2.4639342831436446</c:v>
                      </c:pt>
                      <c:pt idx="33">
                        <c:v>2.4554348245040516</c:v>
                      </c:pt>
                      <c:pt idx="34">
                        <c:v>2.4470910792915341</c:v>
                      </c:pt>
                      <c:pt idx="35">
                        <c:v>2.4389001947748299</c:v>
                      </c:pt>
                      <c:pt idx="36">
                        <c:v>2.4308593704858366</c:v>
                      </c:pt>
                      <c:pt idx="37">
                        <c:v>2.4229658572621289</c:v>
                      </c:pt>
                      <c:pt idx="38">
                        <c:v>2.4152169563070203</c:v>
                      </c:pt>
                      <c:pt idx="39">
                        <c:v>2.4076100182668396</c:v>
                      </c:pt>
                      <c:pt idx="40">
                        <c:v>2.400142442325119</c:v>
                      </c:pt>
                      <c:pt idx="41">
                        <c:v>2.3928116753133715</c:v>
                      </c:pt>
                      <c:pt idx="42">
                        <c:v>2.3856152108381616</c:v>
                      </c:pt>
                      <c:pt idx="43">
                        <c:v>2.3785505884241673</c:v>
                      </c:pt>
                      <c:pt idx="44">
                        <c:v>2.3716153926729433</c:v>
                      </c:pt>
                      <c:pt idx="45">
                        <c:v>2.3648072524370942</c:v>
                      </c:pt>
                      <c:pt idx="46">
                        <c:v>2.3581238400095792</c:v>
                      </c:pt>
                      <c:pt idx="47">
                        <c:v>2.3515628703278639</c:v>
                      </c:pt>
                      <c:pt idx="48">
                        <c:v>2.3451221001926608</c:v>
                      </c:pt>
                      <c:pt idx="49">
                        <c:v>2.338799327500976</c:v>
                      </c:pt>
                      <c:pt idx="50">
                        <c:v>2.332592390493208</c:v>
                      </c:pt>
                      <c:pt idx="51">
                        <c:v>2.3264991670140431</c:v>
                      </c:pt>
                      <c:pt idx="52">
                        <c:v>2.3205175737868871</c:v>
                      </c:pt>
                      <c:pt idx="53">
                        <c:v>2.3146455657015936</c:v>
                      </c:pt>
                      <c:pt idx="54">
                        <c:v>2.3088811351152381</c:v>
                      </c:pt>
                      <c:pt idx="55">
                        <c:v>2.3032223111657051</c:v>
                      </c:pt>
                      <c:pt idx="56">
                        <c:v>2.2976671590978488</c:v>
                      </c:pt>
                      <c:pt idx="57">
                        <c:v>2.2922137796019988</c:v>
                      </c:pt>
                      <c:pt idx="58">
                        <c:v>2.2868603081645853</c:v>
                      </c:pt>
                      <c:pt idx="59">
                        <c:v>2.2816049144306612</c:v>
                      </c:pt>
                      <c:pt idx="60">
                        <c:v>2.2764458015781011</c:v>
                      </c:pt>
                      <c:pt idx="61">
                        <c:v>2.2713812057032694</c:v>
                      </c:pt>
                      <c:pt idx="62">
                        <c:v>2.2664093952179387</c:v>
                      </c:pt>
                      <c:pt idx="63">
                        <c:v>2.2615286702572601</c:v>
                      </c:pt>
                      <c:pt idx="64">
                        <c:v>2.2567373620985758</c:v>
                      </c:pt>
                      <c:pt idx="65">
                        <c:v>2.252033832590886</c:v>
                      </c:pt>
                      <c:pt idx="66">
                        <c:v>2.2474164735947602</c:v>
                      </c:pt>
                      <c:pt idx="67">
                        <c:v>2.242883706432516</c:v>
                      </c:pt>
                      <c:pt idx="68">
                        <c:v>2.2384339813484679</c:v>
                      </c:pt>
                      <c:pt idx="69">
                        <c:v>2.2340657769790631</c:v>
                      </c:pt>
                      <c:pt idx="70">
                        <c:v>2.2297775998327278</c:v>
                      </c:pt>
                      <c:pt idx="71">
                        <c:v>2.2255679837792437</c:v>
                      </c:pt>
                      <c:pt idx="72">
                        <c:v>2.2214354895484725</c:v>
                      </c:pt>
                      <c:pt idx="73">
                        <c:v>2.2173787042382722</c:v>
                      </c:pt>
                      <c:pt idx="74">
                        <c:v>2.2133962408314249</c:v>
                      </c:pt>
                      <c:pt idx="75">
                        <c:v>2.2094867377214125</c:v>
                      </c:pt>
                      <c:pt idx="76">
                        <c:v>2.2056488582468852</c:v>
                      </c:pt>
                      <c:pt idx="77">
                        <c:v>2.2018812902346552</c:v>
                      </c:pt>
                      <c:pt idx="78">
                        <c:v>2.1981827455510627</c:v>
                      </c:pt>
                      <c:pt idx="79">
                        <c:v>2.194551959661565</c:v>
                      </c:pt>
                      <c:pt idx="80">
                        <c:v>2.1909876911983881</c:v>
                      </c:pt>
                      <c:pt idx="81">
                        <c:v>2.1874887215361065</c:v>
                      </c:pt>
                      <c:pt idx="82">
                        <c:v>2.1840538543749894</c:v>
                      </c:pt>
                      <c:pt idx="83">
                        <c:v>2.1806819153319905</c:v>
                      </c:pt>
                      <c:pt idx="84">
                        <c:v>2.1773717515392206</c:v>
                      </c:pt>
                      <c:pt idx="85">
                        <c:v>2.1741222312497852</c:v>
                      </c:pt>
                      <c:pt idx="86">
                        <c:v>2.1709322434508391</c:v>
                      </c:pt>
                      <c:pt idx="87">
                        <c:v>2.1678006974837274</c:v>
                      </c:pt>
                      <c:pt idx="88">
                        <c:v>2.1647265226710926</c:v>
                      </c:pt>
                      <c:pt idx="89">
                        <c:v>2.161708667950808</c:v>
                      </c:pt>
                      <c:pt idx="90">
                        <c:v>2.1587461015166176</c:v>
                      </c:pt>
                      <c:pt idx="91">
                        <c:v>2.1558378104653624</c:v>
                      </c:pt>
                      <c:pt idx="92">
                        <c:v>2.1529828004506681</c:v>
                      </c:pt>
                      <c:pt idx="93">
                        <c:v>2.1501800953429768</c:v>
                      </c:pt>
                      <c:pt idx="94">
                        <c:v>2.1474287368958098</c:v>
                      </c:pt>
                      <c:pt idx="95">
                        <c:v>2.1447277844181389</c:v>
                      </c:pt>
                      <c:pt idx="96">
                        <c:v>2.1420763144527664</c:v>
                      </c:pt>
                      <c:pt idx="97">
                        <c:v>2.1394734204605945</c:v>
                      </c:pt>
                      <c:pt idx="98">
                        <c:v>2.136918212510678</c:v>
                      </c:pt>
                      <c:pt idx="99">
                        <c:v>2.1344098169759569</c:v>
                      </c:pt>
                      <c:pt idx="100">
                        <c:v>2.1319473762345629</c:v>
                      </c:pt>
                      <c:pt idx="101">
                        <c:v>2.1295300483765969</c:v>
                      </c:pt>
                      <c:pt idx="102">
                        <c:v>2.1271570069162822</c:v>
                      </c:pt>
                      <c:pt idx="103">
                        <c:v>2.1248274405093848</c:v>
                      </c:pt>
                      <c:pt idx="104">
                        <c:v>2.1225405526758174</c:v>
                      </c:pt>
                      <c:pt idx="105">
                        <c:v>2.1202955615273225</c:v>
                      </c:pt>
                      <c:pt idx="106">
                        <c:v>2.1180916995001406</c:v>
                      </c:pt>
                      <c:pt idx="107">
                        <c:v>2.1159282130925843</c:v>
                      </c:pt>
                      <c:pt idx="108">
                        <c:v>2.1138043626074126</c:v>
                      </c:pt>
                      <c:pt idx="109">
                        <c:v>2.1117194218989295</c:v>
                      </c:pt>
                      <c:pt idx="110">
                        <c:v>2.1096726781247144</c:v>
                      </c:pt>
                      <c:pt idx="111">
                        <c:v>2.1076634315018996</c:v>
                      </c:pt>
                      <c:pt idx="112">
                        <c:v>2.1056909950679148</c:v>
                      </c:pt>
                      <c:pt idx="113">
                        <c:v>2.1037546944456151</c:v>
                      </c:pt>
                      <c:pt idx="114">
                        <c:v>2.1018538676127099</c:v>
                      </c:pt>
                      <c:pt idx="115">
                        <c:v>2.0999878646754171</c:v>
                      </c:pt>
                      <c:pt idx="116">
                        <c:v>2.0981560476462651</c:v>
                      </c:pt>
                      <c:pt idx="117">
                        <c:v>2.0963577902259631</c:v>
                      </c:pt>
                      <c:pt idx="118">
                        <c:v>2.0945924775892717</c:v>
                      </c:pt>
                      <c:pt idx="119">
                        <c:v>2.0928595061747881</c:v>
                      </c:pt>
                      <c:pt idx="120">
                        <c:v>2.0911582834785958</c:v>
                      </c:pt>
                      <c:pt idx="121">
                        <c:v>2.0894882278516813</c:v>
                      </c:pt>
                      <c:pt idx="122">
                        <c:v>2.08784876830107</c:v>
                      </c:pt>
                      <c:pt idx="123">
                        <c:v>2.0862393442946034</c:v>
                      </c:pt>
                      <c:pt idx="124">
                        <c:v>2.0846594055692935</c:v>
                      </c:pt>
                      <c:pt idx="125">
                        <c:v>2.0831084119431851</c:v>
                      </c:pt>
                      <c:pt idx="126">
                        <c:v>2.0815858331306716</c:v>
                      </c:pt>
                      <c:pt idx="127">
                        <c:v>2.0800911485611846</c:v>
                      </c:pt>
                      <c:pt idx="128">
                        <c:v>2.0786238472012144</c:v>
                      </c:pt>
                      <c:pt idx="129">
                        <c:v>2.0771834273795875</c:v>
                      </c:pt>
                      <c:pt idx="130">
                        <c:v>2.0757693966159421</c:v>
                      </c:pt>
                      <c:pt idx="131">
                        <c:v>2.0743812714523515</c:v>
                      </c:pt>
                      <c:pt idx="132">
                        <c:v>2.0730185772880274</c:v>
                      </c:pt>
                      <c:pt idx="133">
                        <c:v>2.0716808482170559</c:v>
                      </c:pt>
                      <c:pt idx="134">
                        <c:v>2.0703676268691025</c:v>
                      </c:pt>
                      <c:pt idx="135">
                        <c:v>2.0690784642530362</c:v>
                      </c:pt>
                      <c:pt idx="136">
                        <c:v>2.0678129196034214</c:v>
                      </c:pt>
                      <c:pt idx="137">
                        <c:v>2.0665705602298186</c:v>
                      </c:pt>
                      <c:pt idx="138">
                        <c:v>2.0653509613688463</c:v>
                      </c:pt>
                      <c:pt idx="139">
                        <c:v>2.0641537060389568</c:v>
                      </c:pt>
                      <c:pt idx="140">
                        <c:v>2.062978384897868</c:v>
                      </c:pt>
                      <c:pt idx="141">
                        <c:v>2.0618245961026087</c:v>
                      </c:pt>
                      <c:pt idx="142">
                        <c:v>2.0606919451721297</c:v>
                      </c:pt>
                      <c:pt idx="143">
                        <c:v>2.0595800448524302</c:v>
                      </c:pt>
                      <c:pt idx="144">
                        <c:v>2.0584885149841545</c:v>
                      </c:pt>
                      <c:pt idx="145">
                        <c:v>2.0574169823726165</c:v>
                      </c:pt>
                      <c:pt idx="146">
                        <c:v>2.0563650806602025</c:v>
                      </c:pt>
                      <c:pt idx="147">
                        <c:v>2.0553324502011154</c:v>
                      </c:pt>
                      <c:pt idx="148">
                        <c:v>2.0543187379384111</c:v>
                      </c:pt>
                      <c:pt idx="149">
                        <c:v>2.0533235972832866</c:v>
                      </c:pt>
                      <c:pt idx="150">
                        <c:v>2.0523466879965815</c:v>
                      </c:pt>
                      <c:pt idx="151">
                        <c:v>2.0513876760724532</c:v>
                      </c:pt>
                      <c:pt idx="152">
                        <c:v>2.050446233624176</c:v>
                      </c:pt>
                      <c:pt idx="153">
                        <c:v>2.0495220387720376</c:v>
                      </c:pt>
                      <c:pt idx="154">
                        <c:v>2.0486147755332893</c:v>
                      </c:pt>
                      <c:pt idx="155">
                        <c:v>2.0477241337141106</c:v>
                      </c:pt>
                      <c:pt idx="156">
                        <c:v>2.0468498088035543</c:v>
                      </c:pt>
                      <c:pt idx="157">
                        <c:v>2.0459915018694335</c:v>
                      </c:pt>
                      <c:pt idx="158">
                        <c:v>2.0451489194561159</c:v>
                      </c:pt>
                      <c:pt idx="159">
                        <c:v>2.0443217734841923</c:v>
                      </c:pt>
                      <c:pt idx="160">
                        <c:v>2.0435097811519811</c:v>
                      </c:pt>
                      <c:pt idx="161">
                        <c:v>2.0427126648388407</c:v>
                      </c:pt>
                      <c:pt idx="162">
                        <c:v>2.0419301520102464</c:v>
                      </c:pt>
                      <c:pt idx="163">
                        <c:v>2.0411619751246151</c:v>
                      </c:pt>
                      <c:pt idx="164">
                        <c:v>2.0404078715418295</c:v>
                      </c:pt>
                      <c:pt idx="165">
                        <c:v>2.0396675834334439</c:v>
                      </c:pt>
                      <c:pt idx="166">
                        <c:v>2.0389408576945294</c:v>
                      </c:pt>
                      <c:pt idx="167">
                        <c:v>2.038227445857141</c:v>
                      </c:pt>
                      <c:pt idx="168">
                        <c:v>2.0375271040053633</c:v>
                      </c:pt>
                      <c:pt idx="169">
                        <c:v>2.0368395926919161</c:v>
                      </c:pt>
                      <c:pt idx="170">
                        <c:v>2.0361646768562882</c:v>
                      </c:pt>
                      <c:pt idx="171">
                        <c:v>2.0355021257443688</c:v>
                      </c:pt>
                      <c:pt idx="172">
                        <c:v>2.0348517128295542</c:v>
                      </c:pt>
                      <c:pt idx="173">
                        <c:v>2.0342132157352966</c:v>
                      </c:pt>
                      <c:pt idx="174">
                        <c:v>2.0335864161590735</c:v>
                      </c:pt>
                      <c:pt idx="175">
                        <c:v>2.0329710997977521</c:v>
                      </c:pt>
                      <c:pt idx="176">
                        <c:v>2.0323670562743161</c:v>
                      </c:pt>
                      <c:pt idx="177">
                        <c:v>2.0317740790659391</c:v>
                      </c:pt>
                      <c:pt idx="178">
                        <c:v>2.0311919654333739</c:v>
                      </c:pt>
                      <c:pt idx="179">
                        <c:v>2.0306205163516373</c:v>
                      </c:pt>
                      <c:pt idx="180">
                        <c:v>2.0300595364419611</c:v>
                      </c:pt>
                      <c:pt idx="181">
                        <c:v>2.0295088339049925</c:v>
                      </c:pt>
                      <c:pt idx="182">
                        <c:v>2.0289682204552202</c:v>
                      </c:pt>
                      <c:pt idx="183">
                        <c:v>2.0284375112565951</c:v>
                      </c:pt>
                      <c:pt idx="184">
                        <c:v>2.0279165248593394</c:v>
                      </c:pt>
                      <c:pt idx="185">
                        <c:v>2.0274050831379054</c:v>
                      </c:pt>
                      <c:pt idx="186">
                        <c:v>2.0269030112300768</c:v>
                      </c:pt>
                      <c:pt idx="187">
                        <c:v>2.0264101374771797</c:v>
                      </c:pt>
                      <c:pt idx="188">
                        <c:v>2.0259262933653965</c:v>
                      </c:pt>
                      <c:pt idx="189">
                        <c:v>2.0254513134681491</c:v>
                      </c:pt>
                      <c:pt idx="190">
                        <c:v>2.0249850353895384</c:v>
                      </c:pt>
                      <c:pt idx="191">
                        <c:v>2.0245272997088226</c:v>
                      </c:pt>
                      <c:pt idx="192">
                        <c:v>2.0240779499259105</c:v>
                      </c:pt>
                      <c:pt idx="193">
                        <c:v>2.0236368324078544</c:v>
                      </c:pt>
                      <c:pt idx="194">
                        <c:v>2.0232037963363223</c:v>
                      </c:pt>
                      <c:pt idx="195">
                        <c:v>2.0227786936560341</c:v>
                      </c:pt>
                      <c:pt idx="196">
                        <c:v>2.0223613790241393</c:v>
                      </c:pt>
                      <c:pt idx="197">
                        <c:v>2.0219517097605268</c:v>
                      </c:pt>
                      <c:pt idx="198">
                        <c:v>2.0215495457990413</c:v>
                      </c:pt>
                      <c:pt idx="199">
                        <c:v>2.0211547496395941</c:v>
                      </c:pt>
                      <c:pt idx="200">
                        <c:v>2.0207671863011525</c:v>
                      </c:pt>
                      <c:pt idx="201">
                        <c:v>2.020386723275589</c:v>
                      </c:pt>
                      <c:pt idx="202">
                        <c:v>2.0200132304823781</c:v>
                      </c:pt>
                      <c:pt idx="203">
                        <c:v>2.0196465802241197</c:v>
                      </c:pt>
                      <c:pt idx="204">
                        <c:v>2.0192866471428808</c:v>
                      </c:pt>
                      <c:pt idx="205">
                        <c:v>2.0189333081773344</c:v>
                      </c:pt>
                      <c:pt idx="206">
                        <c:v>2.0185864425206868</c:v>
                      </c:pt>
                      <c:pt idx="207">
                        <c:v>2.0182459315793717</c:v>
                      </c:pt>
                      <c:pt idx="208">
                        <c:v>2.0179116589325021</c:v>
                      </c:pt>
                      <c:pt idx="209">
                        <c:v>2.0175835102920705</c:v>
                      </c:pt>
                      <c:pt idx="210">
                        <c:v>2.0172613734638678</c:v>
                      </c:pt>
                      <c:pt idx="211">
                        <c:v>2.0169451383091288</c:v>
                      </c:pt>
                      <c:pt idx="212">
                        <c:v>2.0166346967068725</c:v>
                      </c:pt>
                      <c:pt idx="213">
                        <c:v>2.0163299425169381</c:v>
                      </c:pt>
                      <c:pt idx="214">
                        <c:v>2.0160307715436936</c:v>
                      </c:pt>
                      <c:pt idx="215">
                        <c:v>2.0157370815004119</c:v>
                      </c:pt>
                      <c:pt idx="216">
                        <c:v>2.0154487719742988</c:v>
                      </c:pt>
                      <c:pt idx="217">
                        <c:v>2.0151657443921631</c:v>
                      </c:pt>
                      <c:pt idx="218">
                        <c:v>2.0148879019867119</c:v>
                      </c:pt>
                      <c:pt idx="219">
                        <c:v>2.0146151497634683</c:v>
                      </c:pt>
                      <c:pt idx="220">
                        <c:v>2.0143473944682908</c:v>
                      </c:pt>
                      <c:pt idx="221">
                        <c:v>2.0140845445554909</c:v>
                      </c:pt>
                      <c:pt idx="222">
                        <c:v>2.0138265101565334</c:v>
                      </c:pt>
                      <c:pt idx="223">
                        <c:v>2.0135732030493085</c:v>
                      </c:pt>
                      <c:pt idx="224">
                        <c:v>2.0133245366279731</c:v>
                      </c:pt>
                      <c:pt idx="225">
                        <c:v>2.0130804258733335</c:v>
                      </c:pt>
                      <c:pt idx="226">
                        <c:v>2.0128407873237846</c:v>
                      </c:pt>
                      <c:pt idx="227">
                        <c:v>2.0126055390467683</c:v>
                      </c:pt>
                      <c:pt idx="228">
                        <c:v>2.0123746006107646</c:v>
                      </c:pt>
                      <c:pt idx="229">
                        <c:v>2.0121478930577896</c:v>
                      </c:pt>
                      <c:pt idx="230">
                        <c:v>2.0119253388764013</c:v>
                      </c:pt>
                      <c:pt idx="231">
                        <c:v>2.0117068619751985</c:v>
                      </c:pt>
                      <c:pt idx="232">
                        <c:v>2.0114923876568032</c:v>
                      </c:pt>
                      <c:pt idx="233">
                        <c:v>2.0112818425923225</c:v>
                      </c:pt>
                      <c:pt idx="234">
                        <c:v>2.0110751547962793</c:v>
                      </c:pt>
                      <c:pt idx="235">
                        <c:v>2.0108722536019976</c:v>
                      </c:pt>
                      <c:pt idx="236">
                        <c:v>2.0106730696374431</c:v>
                      </c:pt>
                      <c:pt idx="237">
                        <c:v>2.0104775348015043</c:v>
                      </c:pt>
                      <c:pt idx="238">
                        <c:v>2.0102855822407086</c:v>
                      </c:pt>
                      <c:pt idx="239">
                        <c:v>2.0100971463263657</c:v>
                      </c:pt>
                      <c:pt idx="240">
                        <c:v>2.0099121626321295</c:v>
                      </c:pt>
                      <c:pt idx="241">
                        <c:v>2.0097305679119684</c:v>
                      </c:pt>
                      <c:pt idx="242">
                        <c:v>2.0095523000785431</c:v>
                      </c:pt>
                      <c:pt idx="243">
                        <c:v>2.0093772981819806</c:v>
                      </c:pt>
                      <c:pt idx="244">
                        <c:v>2.0092055023890314</c:v>
                      </c:pt>
                      <c:pt idx="245">
                        <c:v>2.0090368539626162</c:v>
                      </c:pt>
                      <c:pt idx="246">
                        <c:v>2.0088712952417414</c:v>
                      </c:pt>
                      <c:pt idx="247">
                        <c:v>2.0087087696217854</c:v>
                      </c:pt>
                      <c:pt idx="248">
                        <c:v>2.0085492215351457</c:v>
                      </c:pt>
                      <c:pt idx="249">
                        <c:v>2.0083925964322402</c:v>
                      </c:pt>
                      <c:pt idx="250">
                        <c:v>2.0082388407628566</c:v>
                      </c:pt>
                      <c:pt idx="251">
                        <c:v>2.0080879019578446</c:v>
                      </c:pt>
                      <c:pt idx="252">
                        <c:v>2.0079397284111384</c:v>
                      </c:pt>
                      <c:pt idx="253">
                        <c:v>2.0077942694621194</c:v>
                      </c:pt>
                      <c:pt idx="254">
                        <c:v>2.0076514753782888</c:v>
                      </c:pt>
                      <c:pt idx="255">
                        <c:v>2.0075112973382674</c:v>
                      </c:pt>
                      <c:pt idx="256">
                        <c:v>2.0073736874151042</c:v>
                      </c:pt>
                      <c:pt idx="257">
                        <c:v>2.0072385985598866</c:v>
                      </c:pt>
                      <c:pt idx="258">
                        <c:v>2.0071059845856585</c:v>
                      </c:pt>
                      <c:pt idx="259">
                        <c:v>2.006975800151626</c:v>
                      </c:pt>
                      <c:pt idx="260">
                        <c:v>2.0068480007476559</c:v>
                      </c:pt>
                      <c:pt idx="261">
                        <c:v>2.0067225426790607</c:v>
                      </c:pt>
                      <c:pt idx="262">
                        <c:v>2.0065993830516526</c:v>
                      </c:pt>
                      <c:pt idx="263">
                        <c:v>2.0064784797570865</c:v>
                      </c:pt>
                      <c:pt idx="264">
                        <c:v>2.0063597914584554</c:v>
                      </c:pt>
                      <c:pt idx="265">
                        <c:v>2.0062432775761629</c:v>
                      </c:pt>
                      <c:pt idx="266">
                        <c:v>2.0061288982740462</c:v>
                      </c:pt>
                      <c:pt idx="267">
                        <c:v>2.0060166144457559</c:v>
                      </c:pt>
                      <c:pt idx="268">
                        <c:v>2.005906387701387</c:v>
                      </c:pt>
                      <c:pt idx="269">
                        <c:v>2.0057981803543523</c:v>
                      </c:pt>
                      <c:pt idx="270">
                        <c:v>2.0056919554084982</c:v>
                      </c:pt>
                      <c:pt idx="271">
                        <c:v>2.005587676545455</c:v>
                      </c:pt>
                      <c:pt idx="272">
                        <c:v>2.0054853081122199</c:v>
                      </c:pt>
                      <c:pt idx="273">
                        <c:v>2.0053848151089668</c:v>
                      </c:pt>
                      <c:pt idx="274">
                        <c:v>2.0052861631770802</c:v>
                      </c:pt>
                      <c:pt idx="275">
                        <c:v>2.0051893185874081</c:v>
                      </c:pt>
                      <c:pt idx="276">
                        <c:v>2.0050942482287306</c:v>
                      </c:pt>
                      <c:pt idx="277">
                        <c:v>2.0050009195964371</c:v>
                      </c:pt>
                      <c:pt idx="278">
                        <c:v>2.0049093007814149</c:v>
                      </c:pt>
                      <c:pt idx="279">
                        <c:v>2.0048193604591384</c:v>
                      </c:pt>
                      <c:pt idx="280">
                        <c:v>2.0047310678789607</c:v>
                      </c:pt>
                      <c:pt idx="281">
                        <c:v>2.0046443928535975</c:v>
                      </c:pt>
                      <c:pt idx="282">
                        <c:v>2.004559305748808</c:v>
                      </c:pt>
                      <c:pt idx="283">
                        <c:v>2.0044757774732629</c:v>
                      </c:pt>
                      <c:pt idx="284">
                        <c:v>2.0043937794685971</c:v>
                      </c:pt>
                      <c:pt idx="285">
                        <c:v>2.0043132836996449</c:v>
                      </c:pt>
                      <c:pt idx="286">
                        <c:v>2.0042342626448577</c:v>
                      </c:pt>
                      <c:pt idx="287">
                        <c:v>2.0041566892868916</c:v>
                      </c:pt>
                      <c:pt idx="288">
                        <c:v>2.0040805371033708</c:v>
                      </c:pt>
                      <c:pt idx="289">
                        <c:v>2.0040057800578199</c:v>
                      </c:pt>
                      <c:pt idx="290">
                        <c:v>2.0039323925907633</c:v>
                      </c:pt>
                      <c:pt idx="291">
                        <c:v>2.0038603496109828</c:v>
                      </c:pt>
                      <c:pt idx="292">
                        <c:v>2.0037896264869435</c:v>
                      </c:pt>
                      <c:pt idx="293">
                        <c:v>2.0037201990383684</c:v>
                      </c:pt>
                      <c:pt idx="294">
                        <c:v>2.0036520435279725</c:v>
                      </c:pt>
                      <c:pt idx="295">
                        <c:v>2.0035851366533488</c:v>
                      </c:pt>
                      <c:pt idx="296">
                        <c:v>2.0035194555389979</c:v>
                      </c:pt>
                      <c:pt idx="297">
                        <c:v>2.0034549777285098</c:v>
                      </c:pt>
                      <c:pt idx="298">
                        <c:v>2.003391681176883</c:v>
                      </c:pt>
                      <c:pt idx="299">
                        <c:v>2.0033295442429919</c:v>
                      </c:pt>
                      <c:pt idx="300">
                        <c:v>2.0032685456821828</c:v>
                      </c:pt>
                      <c:pt idx="301">
                        <c:v>2.0032086646390117</c:v>
                      </c:pt>
                      <c:pt idx="302">
                        <c:v>2.0031498806401165</c:v>
                      </c:pt>
                      <c:pt idx="303">
                        <c:v>2.0030921735872149</c:v>
                      </c:pt>
                      <c:pt idx="304">
                        <c:v>2.0030355237502318</c:v>
                      </c:pt>
                      <c:pt idx="305">
                        <c:v>2.0029799117605553</c:v>
                      </c:pt>
                      <c:pt idx="306">
                        <c:v>2.0029253186044151</c:v>
                      </c:pt>
                      <c:pt idx="307">
                        <c:v>2.0028717256163797</c:v>
                      </c:pt>
                      <c:pt idx="308">
                        <c:v>2.0028191144729757</c:v>
                      </c:pt>
                      <c:pt idx="309">
                        <c:v>2.0027674671864224</c:v>
                      </c:pt>
                      <c:pt idx="310">
                        <c:v>2.0027167660984833</c:v>
                      </c:pt>
                      <c:pt idx="311">
                        <c:v>2.0026669938744286</c:v>
                      </c:pt>
                      <c:pt idx="312">
                        <c:v>2.0026181334971049</c:v>
                      </c:pt>
                      <c:pt idx="313">
                        <c:v>2.0025701682611219</c:v>
                      </c:pt>
                      <c:pt idx="314">
                        <c:v>2.0025230817671376</c:v>
                      </c:pt>
                      <c:pt idx="315">
                        <c:v>2.0024768579162537</c:v>
                      </c:pt>
                      <c:pt idx="316">
                        <c:v>2.0024314809045083</c:v>
                      </c:pt>
                      <c:pt idx="317">
                        <c:v>2.002386935217475</c:v>
                      </c:pt>
                      <c:pt idx="318">
                        <c:v>2.0023432056249586</c:v>
                      </c:pt>
                      <c:pt idx="319">
                        <c:v>2.0023002771757858</c:v>
                      </c:pt>
                      <c:pt idx="320">
                        <c:v>2.0022581351926956</c:v>
                      </c:pt>
                      <c:pt idx="321">
                        <c:v>2.00221676526732</c:v>
                      </c:pt>
                      <c:pt idx="322">
                        <c:v>2.0021761532552578</c:v>
                      </c:pt>
                      <c:pt idx="323">
                        <c:v>2.0021362852712379</c:v>
                      </c:pt>
                      <c:pt idx="324">
                        <c:v>2.002097147684375</c:v>
                      </c:pt>
                      <c:pt idx="325">
                        <c:v>2.0020587271135053</c:v>
                      </c:pt>
                      <c:pt idx="326">
                        <c:v>2.002021010422613</c:v>
                      </c:pt>
                      <c:pt idx="327">
                        <c:v>2.0019839847163414</c:v>
                      </c:pt>
                      <c:pt idx="328">
                        <c:v>2.0019476373355789</c:v>
                      </c:pt>
                      <c:pt idx="329">
                        <c:v>2.001911955853136</c:v>
                      </c:pt>
                      <c:pt idx="330">
                        <c:v>2.001876928069493</c:v>
                      </c:pt>
                      <c:pt idx="331">
                        <c:v>2.0018425420086308</c:v>
                      </c:pt>
                      <c:pt idx="332">
                        <c:v>2.0018087859139357</c:v>
                      </c:pt>
                      <c:pt idx="333">
                        <c:v>2.00177564824418</c:v>
                      </c:pt>
                      <c:pt idx="334">
                        <c:v>2.0017431176695744</c:v>
                      </c:pt>
                      <c:pt idx="335">
                        <c:v>2.0017111830678975</c:v>
                      </c:pt>
                      <c:pt idx="336">
                        <c:v>2.00167983352069</c:v>
                      </c:pt>
                      <c:pt idx="337">
                        <c:v>2.0016490583095248</c:v>
                      </c:pt>
                      <c:pt idx="338">
                        <c:v>2.0016188469123395</c:v>
                      </c:pt>
                      <c:pt idx="339">
                        <c:v>2.0015891889998394</c:v>
                      </c:pt>
                      <c:pt idx="340">
                        <c:v>2.0015600744319677</c:v>
                      </c:pt>
                      <c:pt idx="341">
                        <c:v>2.0015314932544368</c:v>
                      </c:pt>
                      <c:pt idx="342">
                        <c:v>2.0015034356953261</c:v>
                      </c:pt>
                      <c:pt idx="343">
                        <c:v>2.0014758921617388</c:v>
                      </c:pt>
                      <c:pt idx="344">
                        <c:v>2.0014488532365271</c:v>
                      </c:pt>
                      <c:pt idx="345">
                        <c:v>2.0014223096750658</c:v>
                      </c:pt>
                      <c:pt idx="346">
                        <c:v>2.0013962524020958</c:v>
                      </c:pt>
                      <c:pt idx="347">
                        <c:v>2.0013706725086213</c:v>
                      </c:pt>
                      <c:pt idx="348">
                        <c:v>2.0013455612488613</c:v>
                      </c:pt>
                      <c:pt idx="349">
                        <c:v>2.0013209100372626</c:v>
                      </c:pt>
                      <c:pt idx="350">
                        <c:v>2.0012967104455615</c:v>
                      </c:pt>
                      <c:pt idx="351">
                        <c:v>2.0012729541999033</c:v>
                      </c:pt>
                      <c:pt idx="352">
                        <c:v>2.0012496331780145</c:v>
                      </c:pt>
                      <c:pt idx="353">
                        <c:v>2.001226739406424</c:v>
                      </c:pt>
                      <c:pt idx="354">
                        <c:v>2.0012042650577384</c:v>
                      </c:pt>
                      <c:pt idx="355">
                        <c:v>2.0011822024479655</c:v>
                      </c:pt>
                      <c:pt idx="356">
                        <c:v>2.001160544033886</c:v>
                      </c:pt>
                      <c:pt idx="357">
                        <c:v>2.0011392824104752</c:v>
                      </c:pt>
                      <c:pt idx="358">
                        <c:v>2.001118410308373</c:v>
                      </c:pt>
                      <c:pt idx="359">
                        <c:v>2.0010979205913948</c:v>
                      </c:pt>
                      <c:pt idx="360">
                        <c:v>2.001077806254095</c:v>
                      </c:pt>
                      <c:pt idx="361">
                        <c:v>2.0010580604193695</c:v>
                      </c:pt>
                      <c:pt idx="362">
                        <c:v>2.0010386763361079</c:v>
                      </c:pt>
                      <c:pt idx="363">
                        <c:v>2.0010196473768791</c:v>
                      </c:pt>
                      <c:pt idx="364">
                        <c:v>2.0010009670356719</c:v>
                      </c:pt>
                      <c:pt idx="365">
                        <c:v>2.0009826289256671</c:v>
                      </c:pt>
                      <c:pt idx="366">
                        <c:v>2.0009646267770544</c:v>
                      </c:pt>
                      <c:pt idx="367">
                        <c:v>2.0009469544348883</c:v>
                      </c:pt>
                      <c:pt idx="368">
                        <c:v>2.0009296058569856</c:v>
                      </c:pt>
                      <c:pt idx="369">
                        <c:v>2.0009125751118568</c:v>
                      </c:pt>
                      <c:pt idx="370">
                        <c:v>2.0008958563766814</c:v>
                      </c:pt>
                      <c:pt idx="371">
                        <c:v>2.0008794439353137</c:v>
                      </c:pt>
                      <c:pt idx="372">
                        <c:v>2.0008633321763303</c:v>
                      </c:pt>
                      <c:pt idx="373">
                        <c:v>2.0008475155911123</c:v>
                      </c:pt>
                      <c:pt idx="374">
                        <c:v>2.0008319887719597</c:v>
                      </c:pt>
                      <c:pt idx="375">
                        <c:v>2.0008167464102442</c:v>
                      </c:pt>
                      <c:pt idx="376">
                        <c:v>2.0008017832945937</c:v>
                      </c:pt>
                      <c:pt idx="377">
                        <c:v>2.0007870943091102</c:v>
                      </c:pt>
                      <c:pt idx="378">
                        <c:v>2.0007726744316217</c:v>
                      </c:pt>
                      <c:pt idx="379">
                        <c:v>2.0007585187319634</c:v>
                      </c:pt>
                      <c:pt idx="380">
                        <c:v>2.0007446223702936</c:v>
                      </c:pt>
                      <c:pt idx="381">
                        <c:v>2.0007309805954376</c:v>
                      </c:pt>
                      <c:pt idx="382">
                        <c:v>2.0007175887432656</c:v>
                      </c:pt>
                      <c:pt idx="383">
                        <c:v>2.0007044422350964</c:v>
                      </c:pt>
                      <c:pt idx="384">
                        <c:v>2.0006915365761295</c:v>
                      </c:pt>
                      <c:pt idx="385">
                        <c:v>2.0006788673539138</c:v>
                      </c:pt>
                      <c:pt idx="386">
                        <c:v>2.0006664302368349</c:v>
                      </c:pt>
                      <c:pt idx="387">
                        <c:v>2.0006542209726352</c:v>
                      </c:pt>
                      <c:pt idx="388">
                        <c:v>2.0006422353869606</c:v>
                      </c:pt>
                      <c:pt idx="389">
                        <c:v>2.0006304693819321</c:v>
                      </c:pt>
                      <c:pt idx="390">
                        <c:v>2.0006189189347459</c:v>
                      </c:pt>
                      <c:pt idx="391">
                        <c:v>2.0006075800962977</c:v>
                      </c:pt>
                      <c:pt idx="392">
                        <c:v>2.0005964489898322</c:v>
                      </c:pt>
                      <c:pt idx="393">
                        <c:v>2.0005855218096174</c:v>
                      </c:pt>
                      <c:pt idx="394">
                        <c:v>2.0005747948196442</c:v>
                      </c:pt>
                      <c:pt idx="395">
                        <c:v>2.0005642643523491</c:v>
                      </c:pt>
                      <c:pt idx="396">
                        <c:v>2.0005539268073589</c:v>
                      </c:pt>
                      <c:pt idx="397">
                        <c:v>2.0005437786502607</c:v>
                      </c:pt>
                      <c:pt idx="398">
                        <c:v>2.0005338164113939</c:v>
                      </c:pt>
                      <c:pt idx="399">
                        <c:v>2.0005240366846642</c:v>
                      </c:pt>
                      <c:pt idx="400">
                        <c:v>2.0005144361263767</c:v>
                      </c:pt>
                      <c:pt idx="401">
                        <c:v>2.0005050114540954</c:v>
                      </c:pt>
                      <c:pt idx="402">
                        <c:v>2.0004957594455184</c:v>
                      </c:pt>
                      <c:pt idx="403">
                        <c:v>2.0004866769373799</c:v>
                      </c:pt>
                      <c:pt idx="404">
                        <c:v>2.0004777608243649</c:v>
                      </c:pt>
                      <c:pt idx="405">
                        <c:v>2.0004690080580492</c:v>
                      </c:pt>
                      <c:pt idx="406">
                        <c:v>2.0004604156458563</c:v>
                      </c:pt>
                      <c:pt idx="407">
                        <c:v>2.0004519806500367</c:v>
                      </c:pt>
                      <c:pt idx="408">
                        <c:v>2.0004437001866595</c:v>
                      </c:pt>
                      <c:pt idx="409">
                        <c:v>2.0004355714246307</c:v>
                      </c:pt>
                      <c:pt idx="410">
                        <c:v>2.0004275915847205</c:v>
                      </c:pt>
                      <c:pt idx="411">
                        <c:v>2.000419757938618</c:v>
                      </c:pt>
                      <c:pt idx="412">
                        <c:v>2.0004120678079946</c:v>
                      </c:pt>
                      <c:pt idx="413">
                        <c:v>2.0004045185635912</c:v>
                      </c:pt>
                      <c:pt idx="414">
                        <c:v>2.0003971076243152</c:v>
                      </c:pt>
                      <c:pt idx="415">
                        <c:v>2.000389832456364</c:v>
                      </c:pt>
                      <c:pt idx="416">
                        <c:v>2.0003826905723523</c:v>
                      </c:pt>
                      <c:pt idx="417">
                        <c:v>2.0003756795304661</c:v>
                      </c:pt>
                      <c:pt idx="418">
                        <c:v>2.0003687969336266</c:v>
                      </c:pt>
                      <c:pt idx="419">
                        <c:v>2.0003620404286697</c:v>
                      </c:pt>
                      <c:pt idx="420">
                        <c:v>2.0003554077055425</c:v>
                      </c:pt>
                      <c:pt idx="421">
                        <c:v>2.0003488964965128</c:v>
                      </c:pt>
                      <c:pt idx="422">
                        <c:v>2.0003425045753955</c:v>
                      </c:pt>
                      <c:pt idx="423">
                        <c:v>2.0003362297567882</c:v>
                      </c:pt>
                      <c:pt idx="424">
                        <c:v>2.0003300698953272</c:v>
                      </c:pt>
                      <c:pt idx="425">
                        <c:v>2.0003240228849517</c:v>
                      </c:pt>
                      <c:pt idx="426">
                        <c:v>2.0003180866581869</c:v>
                      </c:pt>
                      <c:pt idx="427">
                        <c:v>2.0003122591854319</c:v>
                      </c:pt>
                      <c:pt idx="428">
                        <c:v>2.0003065384742711</c:v>
                      </c:pt>
                      <c:pt idx="429">
                        <c:v>2.0003009225687904</c:v>
                      </c:pt>
                      <c:pt idx="430">
                        <c:v>2.0002954095489081</c:v>
                      </c:pt>
                      <c:pt idx="431">
                        <c:v>2.0002899975297188</c:v>
                      </c:pt>
                      <c:pt idx="432">
                        <c:v>2.0002846846608513</c:v>
                      </c:pt>
                      <c:pt idx="433">
                        <c:v>2.0002794691258328</c:v>
                      </c:pt>
                      <c:pt idx="434">
                        <c:v>2.0002743491414674</c:v>
                      </c:pt>
                      <c:pt idx="435">
                        <c:v>2.000269322957231</c:v>
                      </c:pt>
                      <c:pt idx="436">
                        <c:v>2.0002643888546681</c:v>
                      </c:pt>
                      <c:pt idx="437">
                        <c:v>2.0002595451468053</c:v>
                      </c:pt>
                      <c:pt idx="438">
                        <c:v>2.0002547901775767</c:v>
                      </c:pt>
                      <c:pt idx="439">
                        <c:v>2.0002501223212557</c:v>
                      </c:pt>
                      <c:pt idx="440">
                        <c:v>2.0002455399818992</c:v>
                      </c:pt>
                      <c:pt idx="441">
                        <c:v>2.0002410415928034</c:v>
                      </c:pt>
                      <c:pt idx="442">
                        <c:v>2.0002366256159658</c:v>
                      </c:pt>
                      <c:pt idx="443">
                        <c:v>2.0002322905415619</c:v>
                      </c:pt>
                      <c:pt idx="444">
                        <c:v>2.0002280348874271</c:v>
                      </c:pt>
                      <c:pt idx="445">
                        <c:v>2.0002238571985504</c:v>
                      </c:pt>
                      <c:pt idx="446">
                        <c:v>2.0002197560465786</c:v>
                      </c:pt>
                      <c:pt idx="447">
                        <c:v>2.0002157300293244</c:v>
                      </c:pt>
                      <c:pt idx="448">
                        <c:v>2.000211777770291</c:v>
                      </c:pt>
                      <c:pt idx="449">
                        <c:v>2.0002078979181981</c:v>
                      </c:pt>
                      <c:pt idx="450">
                        <c:v>2.0002040891465223</c:v>
                      </c:pt>
                      <c:pt idx="451">
                        <c:v>2.000200350153043</c:v>
                      </c:pt>
                      <c:pt idx="452">
                        <c:v>2.0001966796593953</c:v>
                      </c:pt>
                      <c:pt idx="453">
                        <c:v>2.0001930764106355</c:v>
                      </c:pt>
                      <c:pt idx="454">
                        <c:v>2.0001895391748112</c:v>
                      </c:pt>
                      <c:pt idx="455">
                        <c:v>2.0001860667425393</c:v>
                      </c:pt>
                      <c:pt idx="456">
                        <c:v>2.0001826579265929</c:v>
                      </c:pt>
                      <c:pt idx="457">
                        <c:v>2.0001793115614959</c:v>
                      </c:pt>
                      <c:pt idx="458">
                        <c:v>2.0001760265031248</c:v>
                      </c:pt>
                      <c:pt idx="459">
                        <c:v>2.0001728016283158</c:v>
                      </c:pt>
                      <c:pt idx="460">
                        <c:v>2.000169635834482</c:v>
                      </c:pt>
                      <c:pt idx="461">
                        <c:v>2.0001665280392378</c:v>
                      </c:pt>
                      <c:pt idx="462">
                        <c:v>2.000163477180025</c:v>
                      </c:pt>
                      <c:pt idx="463">
                        <c:v>2.0001604822137535</c:v>
                      </c:pt>
                      <c:pt idx="464">
                        <c:v>2.000157542116443</c:v>
                      </c:pt>
                      <c:pt idx="465">
                        <c:v>2.0001546558828722</c:v>
                      </c:pt>
                      <c:pt idx="466">
                        <c:v>2.0001518225262358</c:v>
                      </c:pt>
                      <c:pt idx="467">
                        <c:v>2.0001490410778087</c:v>
                      </c:pt>
                      <c:pt idx="468">
                        <c:v>2.0001463105866106</c:v>
                      </c:pt>
                      <c:pt idx="469">
                        <c:v>2.0001436301190862</c:v>
                      </c:pt>
                      <c:pt idx="470">
                        <c:v>2.0001409987587819</c:v>
                      </c:pt>
                      <c:pt idx="471">
                        <c:v>2.0001384156060338</c:v>
                      </c:pt>
                      <c:pt idx="472">
                        <c:v>2.0001358797776603</c:v>
                      </c:pt>
                      <c:pt idx="473">
                        <c:v>2.0001333904066607</c:v>
                      </c:pt>
                      <c:pt idx="474">
                        <c:v>2.0001309466419177</c:v>
                      </c:pt>
                      <c:pt idx="475">
                        <c:v>2.0001285476479063</c:v>
                      </c:pt>
                      <c:pt idx="476">
                        <c:v>2.0001261926044087</c:v>
                      </c:pt>
                      <c:pt idx="477">
                        <c:v>2.0001238807062354</c:v>
                      </c:pt>
                      <c:pt idx="478">
                        <c:v>2.0001216111629465</c:v>
                      </c:pt>
                      <c:pt idx="479">
                        <c:v>2.0001193831985837</c:v>
                      </c:pt>
                      <c:pt idx="480">
                        <c:v>2.0001171960514044</c:v>
                      </c:pt>
                      <c:pt idx="481">
                        <c:v>2.0001150489736226</c:v>
                      </c:pt>
                      <c:pt idx="482">
                        <c:v>2.0001129412311505</c:v>
                      </c:pt>
                      <c:pt idx="483">
                        <c:v>2.0001108721033498</c:v>
                      </c:pt>
                      <c:pt idx="484">
                        <c:v>2.0001088408827852</c:v>
                      </c:pt>
                      <c:pt idx="485">
                        <c:v>2.0001068468749796</c:v>
                      </c:pt>
                      <c:pt idx="486">
                        <c:v>2.000104889398183</c:v>
                      </c:pt>
                      <c:pt idx="487">
                        <c:v>2.000102967783131</c:v>
                      </c:pt>
                      <c:pt idx="488">
                        <c:v>2.0001010813728231</c:v>
                      </c:pt>
                      <c:pt idx="489">
                        <c:v>2.0000992295222946</c:v>
                      </c:pt>
                      <c:pt idx="490">
                        <c:v>2.000097411598396</c:v>
                      </c:pt>
                      <c:pt idx="491">
                        <c:v>2.0000956269795789</c:v>
                      </c:pt>
                      <c:pt idx="492">
                        <c:v>2.0000938750556809</c:v>
                      </c:pt>
                      <c:pt idx="493">
                        <c:v>2.0000921552277182</c:v>
                      </c:pt>
                      <c:pt idx="494">
                        <c:v>2.0000904669076802</c:v>
                      </c:pt>
                      <c:pt idx="495">
                        <c:v>2.0000888095183305</c:v>
                      </c:pt>
                      <c:pt idx="496">
                        <c:v>2.0000871824930049</c:v>
                      </c:pt>
                      <c:pt idx="497">
                        <c:v>2.000085585275424</c:v>
                      </c:pt>
                      <c:pt idx="498">
                        <c:v>2.000084017319498</c:v>
                      </c:pt>
                      <c:pt idx="499">
                        <c:v>2.0000824780891415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9F16-46DD-A538-BAC245A93A6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Sheet1!$D$21</c15:sqref>
                        </c15:formulaRef>
                      </c:ext>
                    </c:extLst>
                    <c:strCache>
                      <c:ptCount val="1"/>
                      <c:pt idx="0">
                        <c:v>b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Sheet1!$B$22:$B$521</c15:sqref>
                        </c15:formulaRef>
                      </c:ext>
                    </c:extLst>
                    <c:numCache>
                      <c:formatCode>General</c:formatCode>
                      <c:ptCount val="5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Sheet1!$D$22:$D$521</c15:sqref>
                        </c15:formulaRef>
                      </c:ext>
                    </c:extLst>
                    <c:numCache>
                      <c:formatCode>General</c:formatCode>
                      <c:ptCount val="500"/>
                      <c:pt idx="0">
                        <c:v>-3.0000000000000027E-2</c:v>
                      </c:pt>
                      <c:pt idx="1">
                        <c:v>3.3299999999999969E-2</c:v>
                      </c:pt>
                      <c:pt idx="2">
                        <c:v>8.6936999999999987E-2</c:v>
                      </c:pt>
                      <c:pt idx="3">
                        <c:v>0.14037092999999998</c:v>
                      </c:pt>
                      <c:pt idx="4">
                        <c:v>0.19275445769999996</c:v>
                      </c:pt>
                      <c:pt idx="5">
                        <c:v>0.244184851053</c:v>
                      </c:pt>
                      <c:pt idx="6">
                        <c:v>0.29467241863016996</c:v>
                      </c:pt>
                      <c:pt idx="7">
                        <c:v>0.34423508917562129</c:v>
                      </c:pt>
                      <c:pt idx="8">
                        <c:v>0.39288974704301827</c:v>
                      </c:pt>
                      <c:pt idx="9">
                        <c:v>0.44065303289409224</c:v>
                      </c:pt>
                      <c:pt idx="10">
                        <c:v>0.48754127650961376</c:v>
                      </c:pt>
                      <c:pt idx="11">
                        <c:v>0.53357050905402459</c:v>
                      </c:pt>
                      <c:pt idx="12">
                        <c:v>0.57875646794394719</c:v>
                      </c:pt>
                      <c:pt idx="13">
                        <c:v>0.62311460228497528</c:v>
                      </c:pt>
                      <c:pt idx="14">
                        <c:v>0.6666600781485833</c:v>
                      </c:pt>
                      <c:pt idx="15">
                        <c:v>0.70940778375788693</c:v>
                      </c:pt>
                      <c:pt idx="16">
                        <c:v>0.75137233457789188</c:v>
                      </c:pt>
                      <c:pt idx="17">
                        <c:v>0.79256807831253351</c:v>
                      </c:pt>
                      <c:pt idx="18">
                        <c:v>0.83300909981016502</c:v>
                      </c:pt>
                      <c:pt idx="19">
                        <c:v>0.87270922587917488</c:v>
                      </c:pt>
                      <c:pt idx="20">
                        <c:v>0.91168203001538051</c:v>
                      </c:pt>
                      <c:pt idx="21">
                        <c:v>0.9499408370428144</c:v>
                      </c:pt>
                      <c:pt idx="22">
                        <c:v>0.9874987276694891</c:v>
                      </c:pt>
                      <c:pt idx="23">
                        <c:v>1.0243685429596985</c:v>
                      </c:pt>
                      <c:pt idx="24">
                        <c:v>1.0605628887243856</c:v>
                      </c:pt>
                      <c:pt idx="25">
                        <c:v>1.0960941398310762</c:v>
                      </c:pt>
                      <c:pt idx="26">
                        <c:v>1.1309744444348524</c:v>
                      </c:pt>
                      <c:pt idx="27">
                        <c:v>1.1652157281318156</c:v>
                      </c:pt>
                      <c:pt idx="28">
                        <c:v>1.1988296980364526</c:v>
                      </c:pt>
                      <c:pt idx="29">
                        <c:v>1.2318278467843062</c:v>
                      </c:pt>
                      <c:pt idx="30">
                        <c:v>1.2642214564613132</c:v>
                      </c:pt>
                      <c:pt idx="31">
                        <c:v>1.2960216024611562</c:v>
                      </c:pt>
                      <c:pt idx="32">
                        <c:v>1.3272391572719471</c:v>
                      </c:pt>
                      <c:pt idx="33">
                        <c:v>1.3578847941935368</c:v>
                      </c:pt>
                      <c:pt idx="34">
                        <c:v>1.387968990986723</c:v>
                      </c:pt>
                      <c:pt idx="35">
                        <c:v>1.4175020334556017</c:v>
                      </c:pt>
                      <c:pt idx="36">
                        <c:v>1.4464940189642905</c:v>
                      </c:pt>
                      <c:pt idx="37">
                        <c:v>1.4749548598892228</c:v>
                      </c:pt>
                      <c:pt idx="38">
                        <c:v>1.5028942870081945</c:v>
                      </c:pt>
                      <c:pt idx="39">
                        <c:v>1.530321852827323</c:v>
                      </c:pt>
                      <c:pt idx="40">
                        <c:v>1.557246934847055</c:v>
                      </c:pt>
                      <c:pt idx="41">
                        <c:v>1.5836787387683382</c:v>
                      </c:pt>
                      <c:pt idx="42">
                        <c:v>1.6096263016400558</c:v>
                      </c:pt>
                      <c:pt idx="43">
                        <c:v>1.6350984949488001</c:v>
                      </c:pt>
                      <c:pt idx="44">
                        <c:v>1.6601040276520371</c:v>
                      </c:pt>
                      <c:pt idx="45">
                        <c:v>1.6846514491557052</c:v>
                      </c:pt>
                      <c:pt idx="46">
                        <c:v>1.7087491522372609</c:v>
                      </c:pt>
                      <c:pt idx="47">
                        <c:v>1.7324053759151756</c:v>
                      </c:pt>
                      <c:pt idx="48">
                        <c:v>1.7556282082658599</c:v>
                      </c:pt>
                      <c:pt idx="49">
                        <c:v>1.7784255891889811</c:v>
                      </c:pt>
                      <c:pt idx="50">
                        <c:v>1.8008053131221207</c:v>
                      </c:pt>
                      <c:pt idx="51">
                        <c:v>1.8227750317056957</c:v>
                      </c:pt>
                      <c:pt idx="52">
                        <c:v>1.8443422563990599</c:v>
                      </c:pt>
                      <c:pt idx="53">
                        <c:v>1.865514361048676</c:v>
                      </c:pt>
                      <c:pt idx="54">
                        <c:v>1.886298584409237</c:v>
                      </c:pt>
                      <c:pt idx="55">
                        <c:v>1.9067020326186017</c:v>
                      </c:pt>
                      <c:pt idx="56">
                        <c:v>1.9267316816273869</c:v>
                      </c:pt>
                      <c:pt idx="57">
                        <c:v>1.9463943795840486</c:v>
                      </c:pt>
                      <c:pt idx="58">
                        <c:v>1.9656968491762681</c:v>
                      </c:pt>
                      <c:pt idx="59">
                        <c:v>1.9846456899294429</c:v>
                      </c:pt>
                      <c:pt idx="60">
                        <c:v>2.0032473804630682</c:v>
                      </c:pt>
                      <c:pt idx="61">
                        <c:v>2.0215082807057807</c:v>
                      </c:pt>
                      <c:pt idx="62">
                        <c:v>2.0394346340698211</c:v>
                      </c:pt>
                      <c:pt idx="63">
                        <c:v>2.0570325695856608</c:v>
                      </c:pt>
                      <c:pt idx="64">
                        <c:v>2.074308103997522</c:v>
                      </c:pt>
                      <c:pt idx="65">
                        <c:v>2.0912671438205042</c:v>
                      </c:pt>
                      <c:pt idx="66">
                        <c:v>2.1079154873600259</c:v>
                      </c:pt>
                      <c:pt idx="67">
                        <c:v>2.1242588266942684</c:v>
                      </c:pt>
                      <c:pt idx="68">
                        <c:v>2.1403027496203011</c:v>
                      </c:pt>
                      <c:pt idx="69">
                        <c:v>2.1560527415645523</c:v>
                      </c:pt>
                      <c:pt idx="70">
                        <c:v>2.1715141874582788</c:v>
                      </c:pt>
                      <c:pt idx="71">
                        <c:v>2.1866923735786781</c:v>
                      </c:pt>
                      <c:pt idx="72">
                        <c:v>2.2015924893562686</c:v>
                      </c:pt>
                      <c:pt idx="73">
                        <c:v>2.21621962914916</c:v>
                      </c:pt>
                      <c:pt idx="74">
                        <c:v>2.2305787939848165</c:v>
                      </c:pt>
                      <c:pt idx="75">
                        <c:v>2.2446748932699112</c:v>
                      </c:pt>
                      <c:pt idx="76">
                        <c:v>2.2585127464688544</c:v>
                      </c:pt>
                      <c:pt idx="77">
                        <c:v>2.2720970847515725</c:v>
                      </c:pt>
                      <c:pt idx="78">
                        <c:v>2.2854325526110966</c:v>
                      </c:pt>
                      <c:pt idx="79">
                        <c:v>2.2985237094515174</c:v>
                      </c:pt>
                      <c:pt idx="80">
                        <c:v>2.3113750311468491</c:v>
                      </c:pt>
                      <c:pt idx="81">
                        <c:v>2.3239909115713324</c:v>
                      </c:pt>
                      <c:pt idx="82">
                        <c:v>2.3363756641017024</c:v>
                      </c:pt>
                      <c:pt idx="83">
                        <c:v>2.3485335230919349</c:v>
                      </c:pt>
                      <c:pt idx="84">
                        <c:v>2.3604686453209753</c:v>
                      </c:pt>
                      <c:pt idx="85">
                        <c:v>2.3721851114139421</c:v>
                      </c:pt>
                      <c:pt idx="86">
                        <c:v>2.3836869272372962</c:v>
                      </c:pt>
                      <c:pt idx="87">
                        <c:v>2.3949780252684483</c:v>
                      </c:pt>
                      <c:pt idx="88">
                        <c:v>2.4060622659402755</c:v>
                      </c:pt>
                      <c:pt idx="89">
                        <c:v>2.4169434389610056</c:v>
                      </c:pt>
                      <c:pt idx="90">
                        <c:v>2.4276252646099197</c:v>
                      </c:pt>
                      <c:pt idx="91">
                        <c:v>2.4381113950093192</c:v>
                      </c:pt>
                      <c:pt idx="92">
                        <c:v>2.4484054153731867</c:v>
                      </c:pt>
                      <c:pt idx="93">
                        <c:v>2.4585108452329751</c:v>
                      </c:pt>
                      <c:pt idx="94">
                        <c:v>2.4684311396409346</c:v>
                      </c:pt>
                      <c:pt idx="95">
                        <c:v>2.4781696903513994</c:v>
                      </c:pt>
                      <c:pt idx="96">
                        <c:v>2.4877298269804298</c:v>
                      </c:pt>
                      <c:pt idx="97">
                        <c:v>2.4971148181442082</c:v>
                      </c:pt>
                      <c:pt idx="98">
                        <c:v>2.5063278725765841</c:v>
                      </c:pt>
                      <c:pt idx="99">
                        <c:v>2.5153721402261384</c:v>
                      </c:pt>
                      <c:pt idx="100">
                        <c:v>2.5242507133331555</c:v>
                      </c:pt>
                      <c:pt idx="101">
                        <c:v>2.5329666274868607</c:v>
                      </c:pt>
                      <c:pt idx="102">
                        <c:v>2.5415228626632902</c:v>
                      </c:pt>
                      <c:pt idx="103">
                        <c:v>2.5499223442441457</c:v>
                      </c:pt>
                      <c:pt idx="104">
                        <c:v>2.558167944016986</c:v>
                      </c:pt>
                      <c:pt idx="105">
                        <c:v>2.5662624811570907</c:v>
                      </c:pt>
                      <c:pt idx="106">
                        <c:v>2.5742087231913393</c:v>
                      </c:pt>
                      <c:pt idx="107">
                        <c:v>2.5820093869444301</c:v>
                      </c:pt>
                      <c:pt idx="108">
                        <c:v>2.5896671394677635</c:v>
                      </c:pt>
                      <c:pt idx="109">
                        <c:v>2.5971845989513085</c:v>
                      </c:pt>
                      <c:pt idx="110">
                        <c:v>2.6045643356187633</c:v>
                      </c:pt>
                      <c:pt idx="111">
                        <c:v>2.6118088726063173</c:v>
                      </c:pt>
                      <c:pt idx="112">
                        <c:v>2.618920686825311</c:v>
                      </c:pt>
                      <c:pt idx="113">
                        <c:v>2.6259022098090954</c:v>
                      </c:pt>
                      <c:pt idx="114">
                        <c:v>2.6327558285443731</c:v>
                      </c:pt>
                      <c:pt idx="115">
                        <c:v>2.6394838862873109</c:v>
                      </c:pt>
                      <c:pt idx="116">
                        <c:v>2.6460886833647002</c:v>
                      </c:pt>
                      <c:pt idx="117">
                        <c:v>2.6525724779604412</c:v>
                      </c:pt>
                      <c:pt idx="118">
                        <c:v>2.6589374868876154</c:v>
                      </c:pt>
                      <c:pt idx="119">
                        <c:v>2.6651858863464173</c:v>
                      </c:pt>
                      <c:pt idx="120">
                        <c:v>2.6713198126681967</c:v>
                      </c:pt>
                      <c:pt idx="121">
                        <c:v>2.6773413630458727</c:v>
                      </c:pt>
                      <c:pt idx="122">
                        <c:v>2.6832525962509646</c:v>
                      </c:pt>
                      <c:pt idx="123">
                        <c:v>2.6890555333374873</c:v>
                      </c:pt>
                      <c:pt idx="124">
                        <c:v>2.6947521583329506</c:v>
                      </c:pt>
                      <c:pt idx="125">
                        <c:v>2.7003444189166999</c:v>
                      </c:pt>
                      <c:pt idx="126">
                        <c:v>2.7058342270858282</c:v>
                      </c:pt>
                      <c:pt idx="127">
                        <c:v>2.71122345980889</c:v>
                      </c:pt>
                      <c:pt idx="128">
                        <c:v>2.7165139596676369</c:v>
                      </c:pt>
                      <c:pt idx="129">
                        <c:v>2.7217075354869968</c:v>
                      </c:pt>
                      <c:pt idx="130">
                        <c:v>2.7268059629535144</c:v>
                      </c:pt>
                      <c:pt idx="131">
                        <c:v>2.7318109852224577</c:v>
                      </c:pt>
                      <c:pt idx="132">
                        <c:v>2.7367243135138035</c:v>
                      </c:pt>
                      <c:pt idx="133">
                        <c:v>2.7415476276973063</c:v>
                      </c:pt>
                      <c:pt idx="134">
                        <c:v>2.7462825768668448</c:v>
                      </c:pt>
                      <c:pt idx="135">
                        <c:v>2.7509307799042495</c:v>
                      </c:pt>
                      <c:pt idx="136">
                        <c:v>2.7554938260327981</c:v>
                      </c:pt>
                      <c:pt idx="137">
                        <c:v>2.7599732753605726</c:v>
                      </c:pt>
                      <c:pt idx="138">
                        <c:v>2.7643706594138613</c:v>
                      </c:pt>
                      <c:pt idx="139">
                        <c:v>2.768687481660788</c:v>
                      </c:pt>
                      <c:pt idx="140">
                        <c:v>2.7729252180253487</c:v>
                      </c:pt>
                      <c:pt idx="141">
                        <c:v>2.7770853173920313</c:v>
                      </c:pt>
                      <c:pt idx="142">
                        <c:v>2.7811692021011893</c:v>
                      </c:pt>
                      <c:pt idx="143">
                        <c:v>2.7851782684353412</c:v>
                      </c:pt>
                      <c:pt idx="144">
                        <c:v>2.7891138870965606</c:v>
                      </c:pt>
                      <c:pt idx="145">
                        <c:v>2.7929774036751196</c:v>
                      </c:pt>
                      <c:pt idx="146">
                        <c:v>2.796770139109547</c:v>
                      </c:pt>
                      <c:pt idx="147">
                        <c:v>2.8004933901382576</c:v>
                      </c:pt>
                      <c:pt idx="148">
                        <c:v>2.8041484297429085</c:v>
                      </c:pt>
                      <c:pt idx="149">
                        <c:v>2.8077365075836318</c:v>
                      </c:pt>
                      <c:pt idx="150">
                        <c:v>2.8112588504262943</c:v>
                      </c:pt>
                      <c:pt idx="151">
                        <c:v>2.8147166625619291</c:v>
                      </c:pt>
                      <c:pt idx="152">
                        <c:v>2.8181111262184833</c:v>
                      </c:pt>
                      <c:pt idx="153">
                        <c:v>2.8214434019650239</c:v>
                      </c:pt>
                      <c:pt idx="154">
                        <c:v>2.8247146291085348</c:v>
                      </c:pt>
                      <c:pt idx="155">
                        <c:v>2.8279259260834482</c:v>
                      </c:pt>
                      <c:pt idx="156">
                        <c:v>2.8310783908340369</c:v>
                      </c:pt>
                      <c:pt idx="157">
                        <c:v>2.834173101189803</c:v>
                      </c:pt>
                      <c:pt idx="158">
                        <c:v>2.8372111152339881</c:v>
                      </c:pt>
                      <c:pt idx="159">
                        <c:v>2.8401934716653314</c:v>
                      </c:pt>
                      <c:pt idx="160">
                        <c:v>2.8431211901532039</c:v>
                      </c:pt>
                      <c:pt idx="161">
                        <c:v>2.8459952716862311</c:v>
                      </c:pt>
                      <c:pt idx="162">
                        <c:v>2.848816698914534</c:v>
                      </c:pt>
                      <c:pt idx="163">
                        <c:v>2.8515864364856962</c:v>
                      </c:pt>
                      <c:pt idx="164">
                        <c:v>2.8543054313745779</c:v>
                      </c:pt>
                      <c:pt idx="165">
                        <c:v>2.856974613207087</c:v>
                      </c:pt>
                      <c:pt idx="166">
                        <c:v>2.8595948945780196</c:v>
                      </c:pt>
                      <c:pt idx="167">
                        <c:v>2.8621671713630752</c:v>
                      </c:pt>
                      <c:pt idx="168">
                        <c:v>2.8646923230251584</c:v>
                      </c:pt>
                      <c:pt idx="169">
                        <c:v>2.8671712129150677</c:v>
                      </c:pt>
                      <c:pt idx="170">
                        <c:v>2.8696046885666746</c:v>
                      </c:pt>
                      <c:pt idx="171">
                        <c:v>2.8719935819866964</c:v>
                      </c:pt>
                      <c:pt idx="172">
                        <c:v>2.8743387099391606</c:v>
                      </c:pt>
                      <c:pt idx="173">
                        <c:v>2.8766408742246559</c:v>
                      </c:pt>
                      <c:pt idx="174">
                        <c:v>2.878900861954468</c:v>
                      </c:pt>
                      <c:pt idx="175">
                        <c:v>2.8811194458196954</c:v>
                      </c:pt>
                      <c:pt idx="176">
                        <c:v>2.8832973843554308</c:v>
                      </c:pt>
                      <c:pt idx="177">
                        <c:v>2.8854354222001062</c:v>
                      </c:pt>
                      <c:pt idx="178">
                        <c:v>2.8875342903500836</c:v>
                      </c:pt>
                      <c:pt idx="179">
                        <c:v>2.8895947064095839</c:v>
                      </c:pt>
                      <c:pt idx="180">
                        <c:v>2.8916173748360374</c:v>
                      </c:pt>
                      <c:pt idx="181">
                        <c:v>2.8936029871809361</c:v>
                      </c:pt>
                      <c:pt idx="182">
                        <c:v>2.8955522223262764</c:v>
                      </c:pt>
                      <c:pt idx="183">
                        <c:v>2.8974657467166702</c:v>
                      </c:pt>
                      <c:pt idx="184">
                        <c:v>2.8993442145872015</c:v>
                      </c:pt>
                      <c:pt idx="185">
                        <c:v>2.9011882681871097</c:v>
                      </c:pt>
                      <c:pt idx="186">
                        <c:v>2.9029985379993759</c:v>
                      </c:pt>
                      <c:pt idx="187">
                        <c:v>2.9047756429562845</c:v>
                      </c:pt>
                      <c:pt idx="188">
                        <c:v>2.9065201906510372</c:v>
                      </c:pt>
                      <c:pt idx="189">
                        <c:v>2.9082327775454888</c:v>
                      </c:pt>
                      <c:pt idx="190">
                        <c:v>2.9099139891740786</c:v>
                      </c:pt>
                      <c:pt idx="191">
                        <c:v>2.911564400344024</c:v>
                      </c:pt>
                      <c:pt idx="192">
                        <c:v>2.9131845753318486</c:v>
                      </c:pt>
                      <c:pt idx="193">
                        <c:v>2.9147750680763074</c:v>
                      </c:pt>
                      <c:pt idx="194">
                        <c:v>2.9163364223677801</c:v>
                      </c:pt>
                      <c:pt idx="195">
                        <c:v>2.9178691720341918</c:v>
                      </c:pt>
                      <c:pt idx="196">
                        <c:v>2.919373841123531</c:v>
                      </c:pt>
                      <c:pt idx="197">
                        <c:v>2.9208509440830199</c:v>
                      </c:pt>
                      <c:pt idx="198">
                        <c:v>2.9223009859350055</c:v>
                      </c:pt>
                      <c:pt idx="199">
                        <c:v>2.9237244624496266</c:v>
                      </c:pt>
                      <c:pt idx="200">
                        <c:v>2.9251218603143183</c:v>
                      </c:pt>
                      <c:pt idx="201">
                        <c:v>2.9264936573002096</c:v>
                      </c:pt>
                      <c:pt idx="202">
                        <c:v>2.927840322425475</c:v>
                      </c:pt>
                      <c:pt idx="203">
                        <c:v>2.9291623161156917</c:v>
                      </c:pt>
                      <c:pt idx="204">
                        <c:v>2.9304600903612581</c:v>
                      </c:pt>
                      <c:pt idx="205">
                        <c:v>2.9317340888719321</c:v>
                      </c:pt>
                      <c:pt idx="206">
                        <c:v>2.9329847472285331</c:v>
                      </c:pt>
                      <c:pt idx="207">
                        <c:v>2.9342124930318683</c:v>
                      </c:pt>
                      <c:pt idx="208">
                        <c:v>2.9354177460489308</c:v>
                      </c:pt>
                      <c:pt idx="209">
                        <c:v>2.9366009183564166</c:v>
                      </c:pt>
                      <c:pt idx="210">
                        <c:v>2.9377624144816146</c:v>
                      </c:pt>
                      <c:pt idx="211">
                        <c:v>2.9389026315407145</c:v>
                      </c:pt>
                      <c:pt idx="212">
                        <c:v>2.9400219593745813</c:v>
                      </c:pt>
                      <c:pt idx="213">
                        <c:v>2.9411207806820419</c:v>
                      </c:pt>
                      <c:pt idx="214">
                        <c:v>2.9421994711507296</c:v>
                      </c:pt>
                      <c:pt idx="215">
                        <c:v>2.9432583995855333</c:v>
                      </c:pt>
                      <c:pt idx="216">
                        <c:v>2.9442979280346901</c:v>
                      </c:pt>
                      <c:pt idx="217">
                        <c:v>2.945318411913572</c:v>
                      </c:pt>
                      <c:pt idx="218">
                        <c:v>2.9463202001262014</c:v>
                      </c:pt>
                      <c:pt idx="219">
                        <c:v>2.9473036351845407</c:v>
                      </c:pt>
                      <c:pt idx="220">
                        <c:v>2.9482690533255993</c:v>
                      </c:pt>
                      <c:pt idx="221">
                        <c:v>2.9492167846263921</c:v>
                      </c:pt>
                      <c:pt idx="222">
                        <c:v>2.9501471531167929</c:v>
                      </c:pt>
                      <c:pt idx="223">
                        <c:v>2.951060476890321</c:v>
                      </c:pt>
                      <c:pt idx="224">
                        <c:v>2.9519570682128968</c:v>
                      </c:pt>
                      <c:pt idx="225">
                        <c:v>2.9528372336296069</c:v>
                      </c:pt>
                      <c:pt idx="226">
                        <c:v>2.9537012740695108</c:v>
                      </c:pt>
                      <c:pt idx="227">
                        <c:v>2.954549484948529</c:v>
                      </c:pt>
                      <c:pt idx="228">
                        <c:v>2.9553821562704465</c:v>
                      </c:pt>
                      <c:pt idx="229">
                        <c:v>2.956199572726065</c:v>
                      </c:pt>
                      <c:pt idx="230">
                        <c:v>2.9570020137905382</c:v>
                      </c:pt>
                      <c:pt idx="231">
                        <c:v>2.9577897538189246</c:v>
                      </c:pt>
                      <c:pt idx="232">
                        <c:v>2.9585630621399912</c:v>
                      </c:pt>
                      <c:pt idx="233">
                        <c:v>2.9593222031482953</c:v>
                      </c:pt>
                      <c:pt idx="234">
                        <c:v>2.9600674363945818</c:v>
                      </c:pt>
                      <c:pt idx="235">
                        <c:v>2.9607990166745242</c:v>
                      </c:pt>
                      <c:pt idx="236">
                        <c:v>2.9615171941158387</c:v>
                      </c:pt>
                      <c:pt idx="237">
                        <c:v>2.9622222142638037</c:v>
                      </c:pt>
                      <c:pt idx="238">
                        <c:v>2.9629143181652107</c:v>
                      </c:pt>
                      <c:pt idx="239">
                        <c:v>2.9635937424507799</c:v>
                      </c:pt>
                      <c:pt idx="240">
                        <c:v>2.9642607194160631</c:v>
                      </c:pt>
                      <c:pt idx="241">
                        <c:v>2.9649154771008663</c:v>
                      </c:pt>
                      <c:pt idx="242">
                        <c:v>2.9655582393672169</c:v>
                      </c:pt>
                      <c:pt idx="243">
                        <c:v>2.9661892259759011</c:v>
                      </c:pt>
                      <c:pt idx="244">
                        <c:v>2.9668086526616015</c:v>
                      </c:pt>
                      <c:pt idx="245">
                        <c:v>2.9674167312066566</c:v>
                      </c:pt>
                      <c:pt idx="246">
                        <c:v>2.9680136695134687</c:v>
                      </c:pt>
                      <c:pt idx="247">
                        <c:v>2.968599671675586</c:v>
                      </c:pt>
                      <c:pt idx="248">
                        <c:v>2.9691749380474839</c:v>
                      </c:pt>
                      <c:pt idx="249">
                        <c:v>2.9697396653130634</c:v>
                      </c:pt>
                      <c:pt idx="250">
                        <c:v>2.9702940465529002</c:v>
                      </c:pt>
                      <c:pt idx="251">
                        <c:v>2.9708382713102566</c:v>
                      </c:pt>
                      <c:pt idx="252">
                        <c:v>2.9713725256558896</c:v>
                      </c:pt>
                      <c:pt idx="253">
                        <c:v>2.9718969922516649</c:v>
                      </c:pt>
                      <c:pt idx="254">
                        <c:v>2.9724118504130117</c:v>
                      </c:pt>
                      <c:pt idx="255">
                        <c:v>2.9729172761702305</c:v>
                      </c:pt>
                      <c:pt idx="256">
                        <c:v>2.9734134423286762</c:v>
                      </c:pt>
                      <c:pt idx="257">
                        <c:v>2.9739005185278424</c:v>
                      </c:pt>
                      <c:pt idx="258">
                        <c:v>2.9743786712993607</c:v>
                      </c:pt>
                      <c:pt idx="259">
                        <c:v>2.974848064123937</c:v>
                      </c:pt>
                      <c:pt idx="260">
                        <c:v>2.9753088574872466</c:v>
                      </c:pt>
                      <c:pt idx="261">
                        <c:v>2.975761208934804</c:v>
                      </c:pt>
                      <c:pt idx="262">
                        <c:v>2.9762052731258279</c:v>
                      </c:pt>
                      <c:pt idx="263">
                        <c:v>2.9766412018861192</c:v>
                      </c:pt>
                      <c:pt idx="264">
                        <c:v>2.9770691442599708</c:v>
                      </c:pt>
                      <c:pt idx="265">
                        <c:v>2.9774892465611247</c:v>
                      </c:pt>
                      <c:pt idx="266">
                        <c:v>2.9779016524227981</c:v>
                      </c:pt>
                      <c:pt idx="267">
                        <c:v>2.9783065028467917</c:v>
                      </c:pt>
                      <c:pt idx="268">
                        <c:v>2.9787039362516965</c:v>
                      </c:pt>
                      <c:pt idx="269">
                        <c:v>2.9790940885202213</c:v>
                      </c:pt>
                      <c:pt idx="270">
                        <c:v>2.9794770930456496</c:v>
                      </c:pt>
                      <c:pt idx="271">
                        <c:v>2.9798530807774481</c:v>
                      </c:pt>
                      <c:pt idx="272">
                        <c:v>2.9802221802660376</c:v>
                      </c:pt>
                      <c:pt idx="273">
                        <c:v>2.9805845177067436</c:v>
                      </c:pt>
                      <c:pt idx="274">
                        <c:v>2.9809402169829453</c:v>
                      </c:pt>
                      <c:pt idx="275">
                        <c:v>2.9812893997084284</c:v>
                      </c:pt>
                      <c:pt idx="276">
                        <c:v>2.9816321852689662</c:v>
                      </c:pt>
                      <c:pt idx="277">
                        <c:v>2.9819686908631384</c:v>
                      </c:pt>
                      <c:pt idx="278">
                        <c:v>2.9822990315424001</c:v>
                      </c:pt>
                      <c:pt idx="279">
                        <c:v>2.9826233202504184</c:v>
                      </c:pt>
                      <c:pt idx="280">
                        <c:v>2.9829416678616885</c:v>
                      </c:pt>
                      <c:pt idx="281">
                        <c:v>2.9832541832194406</c:v>
                      </c:pt>
                      <c:pt idx="282">
                        <c:v>2.9835609731728541</c:v>
                      </c:pt>
                      <c:pt idx="283">
                        <c:v>2.9838621426135896</c:v>
                      </c:pt>
                      <c:pt idx="284">
                        <c:v>2.9841577945116513</c:v>
                      </c:pt>
                      <c:pt idx="285">
                        <c:v>2.9844480299505927</c:v>
                      </c:pt>
                      <c:pt idx="286">
                        <c:v>2.9847329481620761</c:v>
                      </c:pt>
                      <c:pt idx="287">
                        <c:v>2.985012646559801</c:v>
                      </c:pt>
                      <c:pt idx="288">
                        <c:v>2.9852872207728098</c:v>
                      </c:pt>
                      <c:pt idx="289">
                        <c:v>2.9855567646781829</c:v>
                      </c:pt>
                      <c:pt idx="290">
                        <c:v>2.9858213704331358</c:v>
                      </c:pt>
                      <c:pt idx="291">
                        <c:v>2.9860811285065272</c:v>
                      </c:pt>
                      <c:pt idx="292">
                        <c:v>2.9863361277097913</c:v>
                      </c:pt>
                      <c:pt idx="293">
                        <c:v>2.9865864552273016</c:v>
                      </c:pt>
                      <c:pt idx="294">
                        <c:v>2.9868321966461795</c:v>
                      </c:pt>
                      <c:pt idx="295">
                        <c:v>2.9870734359855571</c:v>
                      </c:pt>
                      <c:pt idx="296">
                        <c:v>2.9873102557253022</c:v>
                      </c:pt>
                      <c:pt idx="297">
                        <c:v>2.9875427368342189</c:v>
                      </c:pt>
                      <c:pt idx="298">
                        <c:v>2.9877709587977321</c:v>
                      </c:pt>
                      <c:pt idx="299">
                        <c:v>2.9879949996450614</c:v>
                      </c:pt>
                      <c:pt idx="300">
                        <c:v>2.9882149359759005</c:v>
                      </c:pt>
                      <c:pt idx="301">
                        <c:v>2.9884308429866069</c:v>
                      </c:pt>
                      <c:pt idx="302">
                        <c:v>2.9886427944959113</c:v>
                      </c:pt>
                      <c:pt idx="303">
                        <c:v>2.9888508629701556</c:v>
                      </c:pt>
                      <c:pt idx="304">
                        <c:v>2.9890551195480706</c:v>
                      </c:pt>
                      <c:pt idx="305">
                        <c:v>2.9892556340650969</c:v>
                      </c:pt>
                      <c:pt idx="306">
                        <c:v>2.9894524750772624</c:v>
                      </c:pt>
                      <c:pt idx="307">
                        <c:v>2.9896457098846221</c:v>
                      </c:pt>
                      <c:pt idx="308">
                        <c:v>2.9898354045542672</c:v>
                      </c:pt>
                      <c:pt idx="309">
                        <c:v>2.9900216239429138</c:v>
                      </c:pt>
                      <c:pt idx="310">
                        <c:v>2.9902044317190772</c:v>
                      </c:pt>
                      <c:pt idx="311">
                        <c:v>2.990383890384841</c:v>
                      </c:pt>
                      <c:pt idx="312">
                        <c:v>2.9905600612972254</c:v>
                      </c:pt>
                      <c:pt idx="313">
                        <c:v>2.9907330046891665</c:v>
                      </c:pt>
                      <c:pt idx="314">
                        <c:v>2.9909027796901086</c:v>
                      </c:pt>
                      <c:pt idx="315">
                        <c:v>2.9910694443462216</c:v>
                      </c:pt>
                      <c:pt idx="316">
                        <c:v>2.9912330556402469</c:v>
                      </c:pt>
                      <c:pt idx="317">
                        <c:v>2.9913936695109795</c:v>
                      </c:pt>
                      <c:pt idx="318">
                        <c:v>2.9915513408723942</c:v>
                      </c:pt>
                      <c:pt idx="319">
                        <c:v>2.9917061236324192</c:v>
                      </c:pt>
                      <c:pt idx="320">
                        <c:v>2.9918580707113684</c:v>
                      </c:pt>
                      <c:pt idx="321">
                        <c:v>2.9920072340600354</c:v>
                      </c:pt>
                      <c:pt idx="322">
                        <c:v>2.9921536646774545</c:v>
                      </c:pt>
                      <c:pt idx="323">
                        <c:v>2.9922974126283375</c:v>
                      </c:pt>
                      <c:pt idx="324">
                        <c:v>2.9924385270601914</c:v>
                      </c:pt>
                      <c:pt idx="325">
                        <c:v>2.9925770562201208</c:v>
                      </c:pt>
                      <c:pt idx="326">
                        <c:v>2.9927130474713248</c:v>
                      </c:pt>
                      <c:pt idx="327">
                        <c:v>2.99284654730929</c:v>
                      </c:pt>
                      <c:pt idx="328">
                        <c:v>2.9929776013776874</c:v>
                      </c:pt>
                      <c:pt idx="329">
                        <c:v>2.9931062544839779</c:v>
                      </c:pt>
                      <c:pt idx="330">
                        <c:v>2.9932325506147324</c:v>
                      </c:pt>
                      <c:pt idx="331">
                        <c:v>2.9933565329506697</c:v>
                      </c:pt>
                      <c:pt idx="332">
                        <c:v>2.9934782438814218</c:v>
                      </c:pt>
                      <c:pt idx="333">
                        <c:v>2.9935977250200256</c:v>
                      </c:pt>
                      <c:pt idx="334">
                        <c:v>2.9937150172171507</c:v>
                      </c:pt>
                      <c:pt idx="335">
                        <c:v>2.9938301605750666</c:v>
                      </c:pt>
                      <c:pt idx="336">
                        <c:v>2.993943194461353</c:v>
                      </c:pt>
                      <c:pt idx="337">
                        <c:v>2.9940541575223603</c:v>
                      </c:pt>
                      <c:pt idx="338">
                        <c:v>2.9941630876964225</c:v>
                      </c:pt>
                      <c:pt idx="339">
                        <c:v>2.9942700222268286</c:v>
                      </c:pt>
                      <c:pt idx="340">
                        <c:v>2.9943749976745555</c:v>
                      </c:pt>
                      <c:pt idx="341">
                        <c:v>2.9944780499307688</c:v>
                      </c:pt>
                      <c:pt idx="342">
                        <c:v>2.9945792142290943</c:v>
                      </c:pt>
                      <c:pt idx="343">
                        <c:v>2.9946785251576631</c:v>
                      </c:pt>
                      <c:pt idx="344">
                        <c:v>2.9947760166709387</c:v>
                      </c:pt>
                      <c:pt idx="345">
                        <c:v>2.9948717221013252</c:v>
                      </c:pt>
                      <c:pt idx="346">
                        <c:v>2.9949656741705639</c:v>
                      </c:pt>
                      <c:pt idx="347">
                        <c:v>2.995057905000921</c:v>
                      </c:pt>
                      <c:pt idx="348">
                        <c:v>2.9951484461261706</c:v>
                      </c:pt>
                      <c:pt idx="349">
                        <c:v>2.9952373285023746</c:v>
                      </c:pt>
                      <c:pt idx="350">
                        <c:v>2.9953245825184687</c:v>
                      </c:pt>
                      <c:pt idx="351">
                        <c:v>2.995410238006651</c:v>
                      </c:pt>
                      <c:pt idx="352">
                        <c:v>2.9954943242525816</c:v>
                      </c:pt>
                      <c:pt idx="353">
                        <c:v>2.9955768700053964</c:v>
                      </c:pt>
                      <c:pt idx="354">
                        <c:v>2.995657903487535</c:v>
                      </c:pt>
                      <c:pt idx="355">
                        <c:v>2.9957374524043918</c:v>
                      </c:pt>
                      <c:pt idx="356">
                        <c:v>2.9958155439537868</c:v>
                      </c:pt>
                      <c:pt idx="357">
                        <c:v>2.9958922048352656</c:v>
                      </c:pt>
                      <c:pt idx="358">
                        <c:v>2.9959674612592271</c:v>
                      </c:pt>
                      <c:pt idx="359">
                        <c:v>2.996041338955886</c:v>
                      </c:pt>
                      <c:pt idx="360">
                        <c:v>2.9961138631840689</c:v>
                      </c:pt>
                      <c:pt idx="361">
                        <c:v>2.9961850587398513</c:v>
                      </c:pt>
                      <c:pt idx="362">
                        <c:v>2.9962549499650337</c:v>
                      </c:pt>
                      <c:pt idx="363">
                        <c:v>2.9963235607554668</c:v>
                      </c:pt>
                      <c:pt idx="364">
                        <c:v>2.9963909145692185</c:v>
                      </c:pt>
                      <c:pt idx="365">
                        <c:v>2.9964570344345964</c:v>
                      </c:pt>
                      <c:pt idx="366">
                        <c:v>2.9965219429580205</c:v>
                      </c:pt>
                      <c:pt idx="367">
                        <c:v>2.9965856623317522</c:v>
                      </c:pt>
                      <c:pt idx="368">
                        <c:v>2.9966482143414814</c:v>
                      </c:pt>
                      <c:pt idx="369">
                        <c:v>2.9967096203737764</c:v>
                      </c:pt>
                      <c:pt idx="370">
                        <c:v>2.9967699014233942</c:v>
                      </c:pt>
                      <c:pt idx="371">
                        <c:v>2.9968290781004607</c:v>
                      </c:pt>
                      <c:pt idx="372">
                        <c:v>2.9968871706375158</c:v>
                      </c:pt>
                      <c:pt idx="373">
                        <c:v>2.9969441988964305</c:v>
                      </c:pt>
                      <c:pt idx="374">
                        <c:v>2.9970001823751997</c:v>
                      </c:pt>
                      <c:pt idx="375">
                        <c:v>2.9970551402146066</c:v>
                      </c:pt>
                      <c:pt idx="376">
                        <c:v>2.9971090912047678</c:v>
                      </c:pt>
                      <c:pt idx="377">
                        <c:v>2.9971620537915578</c:v>
                      </c:pt>
                      <c:pt idx="378">
                        <c:v>2.9972140460829153</c:v>
                      </c:pt>
                      <c:pt idx="379">
                        <c:v>2.9972650858550347</c:v>
                      </c:pt>
                      <c:pt idx="380">
                        <c:v>2.9973151905584432</c:v>
                      </c:pt>
                      <c:pt idx="381">
                        <c:v>2.9973643773239678</c:v>
                      </c:pt>
                      <c:pt idx="382">
                        <c:v>2.9974126629685913</c:v>
                      </c:pt>
                      <c:pt idx="383">
                        <c:v>2.9974600640012032</c:v>
                      </c:pt>
                      <c:pt idx="384">
                        <c:v>2.9975065966282441</c:v>
                      </c:pt>
                      <c:pt idx="385">
                        <c:v>2.9975522767592455</c:v>
                      </c:pt>
                      <c:pt idx="386">
                        <c:v>2.9975971200122706</c:v>
                      </c:pt>
                      <c:pt idx="387">
                        <c:v>2.997641141719253</c:v>
                      </c:pt>
                      <c:pt idx="388">
                        <c:v>2.9976843569312397</c:v>
                      </c:pt>
                      <c:pt idx="389">
                        <c:v>2.9977267804235361</c:v>
                      </c:pt>
                      <c:pt idx="390">
                        <c:v>2.9977684267007589</c:v>
                      </c:pt>
                      <c:pt idx="391">
                        <c:v>2.9978093100017937</c:v>
                      </c:pt>
                      <c:pt idx="392">
                        <c:v>2.9978494443046646</c:v>
                      </c:pt>
                      <c:pt idx="393">
                        <c:v>2.9978888433313129</c:v>
                      </c:pt>
                      <c:pt idx="394">
                        <c:v>2.9979275205522882</c:v>
                      </c:pt>
                      <c:pt idx="395">
                        <c:v>2.9979654891913547</c:v>
                      </c:pt>
                      <c:pt idx="396">
                        <c:v>2.9980027622300116</c:v>
                      </c:pt>
                      <c:pt idx="397">
                        <c:v>2.9980393524119324</c:v>
                      </c:pt>
                      <c:pt idx="398">
                        <c:v>2.9980752722473212</c:v>
                      </c:pt>
                      <c:pt idx="399">
                        <c:v>2.9981105340171896</c:v>
                      </c:pt>
                      <c:pt idx="400">
                        <c:v>2.9981451497775575</c:v>
                      </c:pt>
                      <c:pt idx="401">
                        <c:v>2.9981791313635733</c:v>
                      </c:pt>
                      <c:pt idx="402">
                        <c:v>2.9982124903935605</c:v>
                      </c:pt>
                      <c:pt idx="403">
                        <c:v>2.9982452382729905</c:v>
                      </c:pt>
                      <c:pt idx="404">
                        <c:v>2.998277386198382</c:v>
                      </c:pt>
                      <c:pt idx="405">
                        <c:v>2.9983089451611291</c:v>
                      </c:pt>
                      <c:pt idx="406">
                        <c:v>2.9983399259512593</c:v>
                      </c:pt>
                      <c:pt idx="407">
                        <c:v>2.9983703391611223</c:v>
                      </c:pt>
                      <c:pt idx="408">
                        <c:v>2.9984001951890122</c:v>
                      </c:pt>
                      <c:pt idx="409">
                        <c:v>2.9984295042427216</c:v>
                      </c:pt>
                      <c:pt idx="410">
                        <c:v>2.9984582763430332</c:v>
                      </c:pt>
                      <c:pt idx="411">
                        <c:v>2.9984865213271443</c:v>
                      </c:pt>
                      <c:pt idx="412">
                        <c:v>2.9985142488520315</c:v>
                      </c:pt>
                      <c:pt idx="413">
                        <c:v>2.9985414683977512</c:v>
                      </c:pt>
                      <c:pt idx="414">
                        <c:v>2.9985681892706815</c:v>
                      </c:pt>
                      <c:pt idx="415">
                        <c:v>2.9985944206067043</c:v>
                      </c:pt>
                      <c:pt idx="416">
                        <c:v>2.9986201713743283</c:v>
                      </c:pt>
                      <c:pt idx="417">
                        <c:v>2.9986454503777558</c:v>
                      </c:pt>
                      <c:pt idx="418">
                        <c:v>2.9986702662598921</c:v>
                      </c:pt>
                      <c:pt idx="419">
                        <c:v>2.9986946275053019</c:v>
                      </c:pt>
                      <c:pt idx="420">
                        <c:v>2.9987185424431089</c:v>
                      </c:pt>
                      <c:pt idx="421">
                        <c:v>2.998742019249844</c:v>
                      </c:pt>
                      <c:pt idx="422">
                        <c:v>2.9987650659522407</c:v>
                      </c:pt>
                      <c:pt idx="423">
                        <c:v>2.9987876904299799</c:v>
                      </c:pt>
                      <c:pt idx="424">
                        <c:v>2.9988099004183839</c:v>
                      </c:pt>
                      <c:pt idx="425">
                        <c:v>2.9988317035110601</c:v>
                      </c:pt>
                      <c:pt idx="426">
                        <c:v>2.998853107162498</c:v>
                      </c:pt>
                      <c:pt idx="427">
                        <c:v>2.9988741186906185</c:v>
                      </c:pt>
                      <c:pt idx="428">
                        <c:v>2.9988947452792751</c:v>
                      </c:pt>
                      <c:pt idx="429">
                        <c:v>2.9989149939807107</c:v>
                      </c:pt>
                      <c:pt idx="430">
                        <c:v>2.9989348717179674</c:v>
                      </c:pt>
                      <c:pt idx="431">
                        <c:v>2.9989543852872549</c:v>
                      </c:pt>
                      <c:pt idx="432">
                        <c:v>2.9989735413602738</c:v>
                      </c:pt>
                      <c:pt idx="433">
                        <c:v>2.9989923464864967</c:v>
                      </c:pt>
                      <c:pt idx="434">
                        <c:v>2.9990108070954067</c:v>
                      </c:pt>
                      <c:pt idx="435">
                        <c:v>2.9990289294986967</c:v>
                      </c:pt>
                      <c:pt idx="436">
                        <c:v>2.9990467198924269</c:v>
                      </c:pt>
                      <c:pt idx="437">
                        <c:v>2.9990641843591428</c:v>
                      </c:pt>
                      <c:pt idx="438">
                        <c:v>2.9990813288699556</c:v>
                      </c:pt>
                      <c:pt idx="439">
                        <c:v>2.9990981592865835</c:v>
                      </c:pt>
                      <c:pt idx="440">
                        <c:v>2.9991146813633556</c:v>
                      </c:pt>
                      <c:pt idx="441">
                        <c:v>2.9991309007491789</c:v>
                      </c:pt>
                      <c:pt idx="442">
                        <c:v>2.9991468229894713</c:v>
                      </c:pt>
                      <c:pt idx="443">
                        <c:v>2.9991624535280557</c:v>
                      </c:pt>
                      <c:pt idx="444">
                        <c:v>2.9991777977090219</c:v>
                      </c:pt>
                      <c:pt idx="445">
                        <c:v>2.9991928607785545</c:v>
                      </c:pt>
                      <c:pt idx="446">
                        <c:v>2.9992076478867253</c:v>
                      </c:pt>
                      <c:pt idx="447">
                        <c:v>2.9992221640892556</c:v>
                      </c:pt>
                      <c:pt idx="448">
                        <c:v>2.9992364143492427</c:v>
                      </c:pt>
                      <c:pt idx="449">
                        <c:v>2.9992504035388592</c:v>
                      </c:pt>
                      <c:pt idx="450">
                        <c:v>2.9992641364410164</c:v>
                      </c:pt>
                      <c:pt idx="451">
                        <c:v>2.9992776177510017</c:v>
                      </c:pt>
                      <c:pt idx="452">
                        <c:v>2.999290852078083</c:v>
                      </c:pt>
                      <c:pt idx="453">
                        <c:v>2.999303843947084</c:v>
                      </c:pt>
                      <c:pt idx="454">
                        <c:v>2.9993165977999321</c:v>
                      </c:pt>
                      <c:pt idx="455">
                        <c:v>2.9993291179971773</c:v>
                      </c:pt>
                      <c:pt idx="456">
                        <c:v>2.9993414088194816</c:v>
                      </c:pt>
                      <c:pt idx="457">
                        <c:v>2.9993534744690846</c:v>
                      </c:pt>
                      <c:pt idx="458">
                        <c:v>2.9993653190712388</c:v>
                      </c:pt>
                      <c:pt idx="459">
                        <c:v>2.9993769466756204</c:v>
                      </c:pt>
                      <c:pt idx="460">
                        <c:v>2.9993883612577137</c:v>
                      </c:pt>
                      <c:pt idx="461">
                        <c:v>2.9993995667201712</c:v>
                      </c:pt>
                      <c:pt idx="462">
                        <c:v>2.9994105668941464</c:v>
                      </c:pt>
                      <c:pt idx="463">
                        <c:v>2.9994213655406057</c:v>
                      </c:pt>
                      <c:pt idx="464">
                        <c:v>2.999431966351612</c:v>
                      </c:pt>
                      <c:pt idx="465">
                        <c:v>2.9994423729515893</c:v>
                      </c:pt>
                      <c:pt idx="466">
                        <c:v>2.9994525888985595</c:v>
                      </c:pt>
                      <c:pt idx="467">
                        <c:v>2.9994626176853609</c:v>
                      </c:pt>
                      <c:pt idx="468">
                        <c:v>2.9994724627408416</c:v>
                      </c:pt>
                      <c:pt idx="469">
                        <c:v>2.9994821274310315</c:v>
                      </c:pt>
                      <c:pt idx="470">
                        <c:v>2.9994916150602937</c:v>
                      </c:pt>
                      <c:pt idx="471">
                        <c:v>2.9995009288724543</c:v>
                      </c:pt>
                      <c:pt idx="472">
                        <c:v>2.999510072051911</c:v>
                      </c:pt>
                      <c:pt idx="473">
                        <c:v>2.9995190477247218</c:v>
                      </c:pt>
                      <c:pt idx="474">
                        <c:v>2.9995278589596741</c:v>
                      </c:pt>
                      <c:pt idx="475">
                        <c:v>2.9995365087693346</c:v>
                      </c:pt>
                      <c:pt idx="476">
                        <c:v>2.9995450001110786</c:v>
                      </c:pt>
                      <c:pt idx="477">
                        <c:v>2.9995533358881001</c:v>
                      </c:pt>
                      <c:pt idx="478">
                        <c:v>2.9995615189504061</c:v>
                      </c:pt>
                      <c:pt idx="479">
                        <c:v>2.9995695520957906</c:v>
                      </c:pt>
                      <c:pt idx="480">
                        <c:v>2.9995774380707902</c:v>
                      </c:pt>
                      <c:pt idx="481">
                        <c:v>2.9995851795716244</c:v>
                      </c:pt>
                      <c:pt idx="482">
                        <c:v>2.9995927792451167</c:v>
                      </c:pt>
                      <c:pt idx="483">
                        <c:v>2.9996002396896002</c:v>
                      </c:pt>
                      <c:pt idx="484">
                        <c:v>2.9996075634558048</c:v>
                      </c:pt>
                      <c:pt idx="485">
                        <c:v>2.9996147530477306</c:v>
                      </c:pt>
                      <c:pt idx="486">
                        <c:v>2.9996218109235024</c:v>
                      </c:pt>
                      <c:pt idx="487">
                        <c:v>2.9996287394962127</c:v>
                      </c:pt>
                      <c:pt idx="488">
                        <c:v>2.9996355411347446</c:v>
                      </c:pt>
                      <c:pt idx="489">
                        <c:v>2.9996422181645817</c:v>
                      </c:pt>
                      <c:pt idx="490">
                        <c:v>2.9996487728686048</c:v>
                      </c:pt>
                      <c:pt idx="491">
                        <c:v>2.9996552074878706</c:v>
                      </c:pt>
                      <c:pt idx="492">
                        <c:v>2.9996615242223794</c:v>
                      </c:pt>
                      <c:pt idx="493">
                        <c:v>2.9996677252318258</c:v>
                      </c:pt>
                      <c:pt idx="494">
                        <c:v>2.9996738126363391</c:v>
                      </c:pt>
                      <c:pt idx="495">
                        <c:v>2.9996797885172062</c:v>
                      </c:pt>
                      <c:pt idx="496">
                        <c:v>2.9996856549175841</c:v>
                      </c:pt>
                      <c:pt idx="497">
                        <c:v>2.9996914138431983</c:v>
                      </c:pt>
                      <c:pt idx="498">
                        <c:v>2.9996970672630292</c:v>
                      </c:pt>
                      <c:pt idx="499">
                        <c:v>2.9997026171099841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F16-46DD-A538-BAC245A93A63}"/>
                  </c:ext>
                </c:extLst>
              </c15:ser>
            </c15:filteredScatterSeries>
          </c:ext>
        </c:extLst>
      </c:scatterChart>
      <c:valAx>
        <c:axId val="11101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16055"/>
        <c:crosses val="autoZero"/>
        <c:crossBetween val="midCat"/>
      </c:valAx>
      <c:valAx>
        <c:axId val="111016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157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Sheet2!$B$4</c:f>
              <c:strCache>
                <c:ptCount val="1"/>
                <c:pt idx="0">
                  <c:v>y_act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Sheet2!$C$3:$M$3</c:f>
              <c:numCache>
                <c:formatCode>General</c:formatCode>
                <c:ptCount val="11"/>
                <c:pt idx="0">
                  <c:v>1</c:v>
                </c:pt>
                <c:pt idx="1">
                  <c:v>1.2</c:v>
                </c:pt>
                <c:pt idx="2">
                  <c:v>2</c:v>
                </c:pt>
                <c:pt idx="3">
                  <c:v>2.1</c:v>
                </c:pt>
                <c:pt idx="4">
                  <c:v>2.5</c:v>
                </c:pt>
                <c:pt idx="5">
                  <c:v>3.1</c:v>
                </c:pt>
                <c:pt idx="6">
                  <c:v>3.5</c:v>
                </c:pt>
                <c:pt idx="7">
                  <c:v>4</c:v>
                </c:pt>
                <c:pt idx="8">
                  <c:v>4.2</c:v>
                </c:pt>
                <c:pt idx="9">
                  <c:v>4.5999999999999996</c:v>
                </c:pt>
                <c:pt idx="10">
                  <c:v>5</c:v>
                </c:pt>
              </c:numCache>
            </c:numRef>
          </c:xVal>
          <c:yVal>
            <c:numRef>
              <c:f>Sheet2!$C$4:$M$4</c:f>
              <c:numCache>
                <c:formatCode>General</c:formatCode>
                <c:ptCount val="11"/>
                <c:pt idx="0">
                  <c:v>4</c:v>
                </c:pt>
                <c:pt idx="1">
                  <c:v>5.5</c:v>
                </c:pt>
                <c:pt idx="2">
                  <c:v>6</c:v>
                </c:pt>
                <c:pt idx="3">
                  <c:v>7</c:v>
                </c:pt>
                <c:pt idx="4">
                  <c:v>8.5</c:v>
                </c:pt>
                <c:pt idx="5">
                  <c:v>7.2</c:v>
                </c:pt>
                <c:pt idx="6">
                  <c:v>9</c:v>
                </c:pt>
                <c:pt idx="7">
                  <c:v>11.4</c:v>
                </c:pt>
                <c:pt idx="8">
                  <c:v>11</c:v>
                </c:pt>
                <c:pt idx="9">
                  <c:v>12.5</c:v>
                </c:pt>
                <c:pt idx="10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8-46AA-9D6A-1430FBB5E44A}"/>
            </c:ext>
          </c:extLst>
        </c:ser>
        <c:ser>
          <c:idx val="1"/>
          <c:order val="1"/>
          <c:tx>
            <c:strRef>
              <c:f>Sheet2!$B$8</c:f>
              <c:strCache>
                <c:ptCount val="1"/>
                <c:pt idx="0">
                  <c:v>y_pred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Sheet2!$C$3:$M$3</c:f>
              <c:numCache>
                <c:formatCode>General</c:formatCode>
                <c:ptCount val="11"/>
                <c:pt idx="0">
                  <c:v>1</c:v>
                </c:pt>
                <c:pt idx="1">
                  <c:v>1.2</c:v>
                </c:pt>
                <c:pt idx="2">
                  <c:v>2</c:v>
                </c:pt>
                <c:pt idx="3">
                  <c:v>2.1</c:v>
                </c:pt>
                <c:pt idx="4">
                  <c:v>2.5</c:v>
                </c:pt>
                <c:pt idx="5">
                  <c:v>3.1</c:v>
                </c:pt>
                <c:pt idx="6">
                  <c:v>3.5</c:v>
                </c:pt>
                <c:pt idx="7">
                  <c:v>4</c:v>
                </c:pt>
                <c:pt idx="8">
                  <c:v>4.2</c:v>
                </c:pt>
                <c:pt idx="9">
                  <c:v>4.5999999999999996</c:v>
                </c:pt>
                <c:pt idx="10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Sheet2!$C$8:$M$8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1F8-46AA-9D6A-1430FBB5E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16928"/>
        <c:axId val="505919880"/>
        <c:extLst/>
      </c:scatterChart>
      <c:valAx>
        <c:axId val="50591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9880"/>
        <c:crosses val="autoZero"/>
        <c:crossBetween val="midCat"/>
        <c:minorUnit val="1"/>
      </c:valAx>
      <c:valAx>
        <c:axId val="5059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Sheet2!$E$21</c:f>
              <c:strCache>
                <c:ptCount val="1"/>
                <c:pt idx="0">
                  <c:v>avg_loss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Sheet2!$B$22:$B$521</c:f>
              <c:numCache>
                <c:formatCode>General</c:formatCode>
                <c:ptCount val="500"/>
              </c:numCache>
            </c:numRef>
          </c:xVal>
          <c:yVal>
            <c:numRef>
              <c:f>Sheet2!$E$22:$E$521</c:f>
              <c:numCache>
                <c:formatCode>General</c:formatCode>
                <c:ptCount val="5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C6-4DC2-90AE-B85EB505B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15727"/>
        <c:axId val="11101605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Sheet2!$C$21</c15:sqref>
                        </c15:formulaRef>
                      </c:ext>
                    </c:extLst>
                    <c:strCache>
                      <c:ptCount val="1"/>
                      <c:pt idx="0">
                        <c:v>m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Sheet2!$B$22:$B$521</c15:sqref>
                        </c15:formulaRef>
                      </c:ext>
                    </c:extLst>
                    <c:numCache>
                      <c:formatCode>General</c:formatCode>
                      <c:ptCount val="5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Sheet2!$C$22:$C$521</c15:sqref>
                        </c15:formulaRef>
                      </c:ext>
                    </c:extLst>
                    <c:numCache>
                      <c:formatCode>General</c:formatCode>
                      <c:ptCount val="5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CC6-4DC2-90AE-B85EB505B1C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Sheet2!$D$21</c15:sqref>
                        </c15:formulaRef>
                      </c:ext>
                    </c:extLst>
                    <c:strCache>
                      <c:ptCount val="1"/>
                      <c:pt idx="0">
                        <c:v>b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Sheet2!$B$22:$B$521</c15:sqref>
                        </c15:formulaRef>
                      </c:ext>
                    </c:extLst>
                    <c:numCache>
                      <c:formatCode>General</c:formatCode>
                      <c:ptCount val="5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Sheet2!$D$22:$D$521</c15:sqref>
                        </c15:formulaRef>
                      </c:ext>
                    </c:extLst>
                    <c:numCache>
                      <c:formatCode>General</c:formatCode>
                      <c:ptCount val="5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CC6-4DC2-90AE-B85EB505B1C2}"/>
                  </c:ext>
                </c:extLst>
              </c15:ser>
            </c15:filteredScatterSeries>
          </c:ext>
        </c:extLst>
      </c:scatterChart>
      <c:valAx>
        <c:axId val="11101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16055"/>
        <c:crosses val="autoZero"/>
        <c:crossBetween val="midCat"/>
      </c:valAx>
      <c:valAx>
        <c:axId val="111016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157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104774</xdr:colOff>
      <xdr:row>1</xdr:row>
      <xdr:rowOff>61912</xdr:rowOff>
    </xdr:from>
    <xdr:to>
      <xdr:col>17</xdr:col>
      <xdr:colOff>609599</xdr:colOff>
      <xdr:row>17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21</xdr:row>
          <xdr:rowOff>85725</xdr:rowOff>
        </xdr:from>
        <xdr:to>
          <xdr:col>11</xdr:col>
          <xdr:colOff>57150</xdr:colOff>
          <xdr:row>24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Gradient Descent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21</xdr:row>
          <xdr:rowOff>76200</xdr:rowOff>
        </xdr:from>
        <xdr:to>
          <xdr:col>12</xdr:col>
          <xdr:colOff>504825</xdr:colOff>
          <xdr:row>24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21</xdr:row>
          <xdr:rowOff>47625</xdr:rowOff>
        </xdr:from>
        <xdr:to>
          <xdr:col>15</xdr:col>
          <xdr:colOff>419100</xdr:colOff>
          <xdr:row>24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 &amp; b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104775</xdr:colOff>
      <xdr:row>25</xdr:row>
      <xdr:rowOff>161925</xdr:rowOff>
    </xdr:from>
    <xdr:to>
      <xdr:col>18</xdr:col>
      <xdr:colOff>89959</xdr:colOff>
      <xdr:row>43</xdr:row>
      <xdr:rowOff>183092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516466</xdr:colOff>
      <xdr:row>1</xdr:row>
      <xdr:rowOff>70379</xdr:rowOff>
    </xdr:from>
    <xdr:to>
      <xdr:col>24</xdr:col>
      <xdr:colOff>561974</xdr:colOff>
      <xdr:row>17</xdr:row>
      <xdr:rowOff>142345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21</xdr:row>
          <xdr:rowOff>133350</xdr:rowOff>
        </xdr:from>
        <xdr:to>
          <xdr:col>17</xdr:col>
          <xdr:colOff>342900</xdr:colOff>
          <xdr:row>25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Gradient Descent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21</xdr:row>
          <xdr:rowOff>114300</xdr:rowOff>
        </xdr:from>
        <xdr:to>
          <xdr:col>19</xdr:col>
          <xdr:colOff>438150</xdr:colOff>
          <xdr:row>25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590550</xdr:colOff>
          <xdr:row>21</xdr:row>
          <xdr:rowOff>142875</xdr:rowOff>
        </xdr:from>
        <xdr:to>
          <xdr:col>22</xdr:col>
          <xdr:colOff>466725</xdr:colOff>
          <xdr:row>25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 &amp; b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127000</xdr:colOff>
      <xdr:row>25</xdr:row>
      <xdr:rowOff>179915</xdr:rowOff>
    </xdr:from>
    <xdr:to>
      <xdr:col>22</xdr:col>
      <xdr:colOff>433917</xdr:colOff>
      <xdr:row>44</xdr:row>
      <xdr:rowOff>10582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AB864-F8C1-4E47-909C-FC6D25F90500}">
  <sheetPr codeName="Sheet1"/>
  <dimension ref="A1:S521"/>
  <sheetViews>
    <sheetView workbookViewId="0">
      <selection activeCell="C14" sqref="C14:G14"/>
    </sheetView>
  </sheetViews>
  <sheetFormatPr defaultRowHeight="15" x14ac:dyDescent="0.25"/>
  <cols>
    <col min="1" max="1" width="5.42578125" customWidth="1"/>
    <col min="2" max="2" width="13.85546875" customWidth="1"/>
    <col min="3" max="3" width="11.28515625" customWidth="1"/>
    <col min="5" max="5" width="10.85546875" bestFit="1" customWidth="1"/>
    <col min="6" max="6" width="9.85546875" bestFit="1" customWidth="1"/>
    <col min="9" max="9" width="3.7109375" customWidth="1"/>
    <col min="10" max="10" width="13.85546875" bestFit="1" customWidth="1"/>
    <col min="12" max="12" width="18.140625" bestFit="1" customWidth="1"/>
  </cols>
  <sheetData>
    <row r="1" spans="1:19" x14ac:dyDescent="0.25">
      <c r="A1" s="8"/>
      <c r="B1" s="8"/>
      <c r="C1" s="8"/>
      <c r="D1" s="8"/>
      <c r="E1" s="8"/>
      <c r="F1" s="8"/>
      <c r="G1" s="8"/>
      <c r="H1" s="8"/>
      <c r="I1" s="6"/>
      <c r="J1" s="6"/>
      <c r="K1" s="6"/>
      <c r="L1" s="6"/>
      <c r="M1" s="6"/>
      <c r="N1" s="6"/>
      <c r="O1" s="6"/>
      <c r="P1" s="6"/>
      <c r="Q1" s="6"/>
      <c r="R1" s="6"/>
      <c r="S1" s="6"/>
    </row>
    <row r="2" spans="1:19" ht="15.75" thickBot="1" x14ac:dyDescent="0.3">
      <c r="A2" s="8"/>
      <c r="B2" s="8"/>
      <c r="C2" s="8"/>
      <c r="D2" s="8"/>
      <c r="E2" s="8"/>
      <c r="F2" s="8"/>
      <c r="G2" s="8"/>
      <c r="H2" s="8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19" ht="19.5" thickBot="1" x14ac:dyDescent="0.3">
      <c r="A3" s="8"/>
      <c r="B3" s="3" t="s">
        <v>8</v>
      </c>
      <c r="C3" s="9">
        <v>1</v>
      </c>
      <c r="D3" s="10">
        <v>2</v>
      </c>
      <c r="E3" s="10">
        <v>3</v>
      </c>
      <c r="F3" s="10">
        <v>4</v>
      </c>
      <c r="G3" s="28">
        <v>5</v>
      </c>
      <c r="H3" s="8"/>
      <c r="I3" s="6"/>
      <c r="J3" s="6"/>
      <c r="K3" s="6"/>
      <c r="L3" s="6"/>
      <c r="M3" s="6"/>
      <c r="N3" s="6"/>
      <c r="O3" s="6"/>
      <c r="P3" s="6"/>
      <c r="Q3" s="6"/>
      <c r="R3" s="6"/>
      <c r="S3" s="6"/>
    </row>
    <row r="4" spans="1:19" ht="19.5" thickBot="1" x14ac:dyDescent="0.3">
      <c r="A4" s="8"/>
      <c r="B4" s="3" t="s">
        <v>2</v>
      </c>
      <c r="C4" s="15">
        <v>5</v>
      </c>
      <c r="D4" s="16">
        <v>7</v>
      </c>
      <c r="E4" s="16">
        <v>9</v>
      </c>
      <c r="F4" s="16">
        <v>11</v>
      </c>
      <c r="G4" s="28">
        <v>13</v>
      </c>
      <c r="H4" s="8"/>
      <c r="I4" s="6"/>
      <c r="J4" s="6"/>
      <c r="K4" s="6"/>
      <c r="L4" s="6"/>
      <c r="M4" s="6"/>
      <c r="N4" s="6"/>
      <c r="O4" s="6"/>
      <c r="P4" s="6"/>
      <c r="Q4" s="6"/>
      <c r="R4" s="6"/>
      <c r="S4" s="6"/>
    </row>
    <row r="5" spans="1:19" ht="15.75" thickBot="1" x14ac:dyDescent="0.3">
      <c r="A5" s="8"/>
      <c r="B5" s="8"/>
      <c r="C5" s="8"/>
      <c r="D5" s="8"/>
      <c r="E5" s="8"/>
      <c r="F5" s="8"/>
      <c r="G5" s="8"/>
      <c r="H5" s="8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19" ht="19.5" thickBot="1" x14ac:dyDescent="0.3">
      <c r="A6" s="8"/>
      <c r="B6" s="3" t="s">
        <v>12</v>
      </c>
      <c r="C6" s="8"/>
      <c r="D6" s="3" t="s">
        <v>5</v>
      </c>
      <c r="E6" s="20">
        <v>2.0000824780891415</v>
      </c>
      <c r="F6" s="3" t="s">
        <v>6</v>
      </c>
      <c r="G6" s="28">
        <v>2.9997026171099841</v>
      </c>
      <c r="H6" s="8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19" ht="15.75" thickBot="1" x14ac:dyDescent="0.3">
      <c r="A7" s="8"/>
      <c r="B7" s="8"/>
      <c r="C7" s="8"/>
      <c r="D7" s="8"/>
      <c r="E7" s="8"/>
      <c r="F7" s="8"/>
      <c r="G7" s="8"/>
      <c r="H7" s="8"/>
      <c r="I7" s="6"/>
      <c r="J7" s="6"/>
      <c r="K7" s="6"/>
      <c r="L7" s="6"/>
      <c r="M7" s="6"/>
      <c r="N7" s="6"/>
      <c r="O7" s="6"/>
      <c r="P7" s="6"/>
      <c r="Q7" s="6"/>
      <c r="R7" s="6"/>
      <c r="S7" s="6"/>
    </row>
    <row r="8" spans="1:19" ht="19.5" thickBot="1" x14ac:dyDescent="0.3">
      <c r="A8" s="8"/>
      <c r="B8" s="3" t="s">
        <v>3</v>
      </c>
      <c r="C8" s="9">
        <f>(m_curr*C3) + b_curr</f>
        <v>4.9997850951991261</v>
      </c>
      <c r="D8" s="10">
        <f>(m_curr*D3) + b_curr</f>
        <v>6.9998675732882667</v>
      </c>
      <c r="E8" s="10">
        <f>(m_curr*E3) + b_curr</f>
        <v>8.9999500513774091</v>
      </c>
      <c r="F8" s="10">
        <f>(m_curr*F3) + b_curr</f>
        <v>11.00003252946655</v>
      </c>
      <c r="G8" s="28">
        <f>(m_curr*G3) + b_curr</f>
        <v>13.00011500755569</v>
      </c>
      <c r="H8" s="8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ht="15.75" thickBot="1" x14ac:dyDescent="0.3">
      <c r="A9" s="8"/>
      <c r="B9" s="8"/>
      <c r="C9" s="8"/>
      <c r="D9" s="8"/>
      <c r="E9" s="8"/>
      <c r="F9" s="8"/>
      <c r="G9" s="8"/>
      <c r="H9" s="8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ht="19.5" thickBot="1" x14ac:dyDescent="0.3">
      <c r="A10" s="8"/>
      <c r="B10" s="3" t="s">
        <v>4</v>
      </c>
      <c r="C10" s="9">
        <f>(C4-C8)</f>
        <v>2.1490480087393848E-4</v>
      </c>
      <c r="D10" s="10">
        <f t="shared" ref="D10:G10" si="0">(D4-D8)</f>
        <v>1.3242671173330223E-4</v>
      </c>
      <c r="E10" s="10">
        <f t="shared" si="0"/>
        <v>4.9948622590889613E-5</v>
      </c>
      <c r="F10" s="10">
        <f t="shared" si="0"/>
        <v>-3.2529466549746644E-5</v>
      </c>
      <c r="G10" s="28">
        <f t="shared" si="0"/>
        <v>-1.150075556903829E-4</v>
      </c>
      <c r="H10" s="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ht="15.75" thickBot="1" x14ac:dyDescent="0.3">
      <c r="A11" s="8"/>
      <c r="B11" s="8"/>
      <c r="C11" s="8"/>
      <c r="D11" s="8"/>
      <c r="E11" s="8"/>
      <c r="F11" s="8"/>
      <c r="G11" s="8"/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ht="19.5" thickBot="1" x14ac:dyDescent="0.3">
      <c r="A12" s="8"/>
      <c r="B12" s="3" t="s">
        <v>16</v>
      </c>
      <c r="C12" s="9">
        <f>C10^2</f>
        <v>4.6184073438667152E-8</v>
      </c>
      <c r="D12" s="10">
        <f>D10^2</f>
        <v>1.7536833980495124E-8</v>
      </c>
      <c r="E12" s="10">
        <f>E10^2</f>
        <v>2.4948648987271284E-9</v>
      </c>
      <c r="F12" s="10">
        <f>F10^2</f>
        <v>1.0581661940110859E-9</v>
      </c>
      <c r="G12" s="28">
        <f>G10^2</f>
        <v>1.3226737865876524E-8</v>
      </c>
      <c r="H12" s="8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5.75" thickBot="1" x14ac:dyDescent="0.3">
      <c r="A13" s="8"/>
      <c r="B13" s="8"/>
      <c r="C13" s="8"/>
      <c r="D13" s="8"/>
      <c r="E13" s="8"/>
      <c r="F13" s="8"/>
      <c r="G13" s="8"/>
      <c r="H13" s="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19.5" thickBot="1" x14ac:dyDescent="0.3">
      <c r="A14" s="8"/>
      <c r="B14" s="3" t="s">
        <v>13</v>
      </c>
      <c r="C14" s="9">
        <f>C3*(C4-C8)</f>
        <v>2.1490480087393848E-4</v>
      </c>
      <c r="D14" s="10">
        <f t="shared" ref="D14:G14" si="1">D3*(D4-D8)</f>
        <v>2.6485342346660445E-4</v>
      </c>
      <c r="E14" s="10">
        <f t="shared" si="1"/>
        <v>1.4984586777266884E-4</v>
      </c>
      <c r="F14" s="10">
        <f t="shared" si="1"/>
        <v>-1.3011786619898658E-4</v>
      </c>
      <c r="G14" s="28">
        <f t="shared" si="1"/>
        <v>-5.7503777845191451E-4</v>
      </c>
      <c r="H14" s="8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5.75" thickBot="1" x14ac:dyDescent="0.3">
      <c r="A15" s="8"/>
      <c r="B15" s="8"/>
      <c r="C15" s="8"/>
      <c r="D15" s="8"/>
      <c r="E15" s="8"/>
      <c r="F15" s="8"/>
      <c r="G15" s="8"/>
      <c r="H15" s="8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ht="19.5" thickBot="1" x14ac:dyDescent="0.3">
      <c r="A16" s="8"/>
      <c r="B16" s="8"/>
      <c r="C16" s="3" t="s">
        <v>14</v>
      </c>
      <c r="D16" s="20">
        <f>SUM(C14:G14)*(-2/COUNT(x_act))</f>
        <v>3.0220621015075724E-5</v>
      </c>
      <c r="E16" s="8"/>
      <c r="F16" s="3" t="s">
        <v>15</v>
      </c>
      <c r="G16" s="20">
        <f>SUM(C10:G10)*(-2/COUNT(x_act))</f>
        <v>-9.9897245183200317E-5</v>
      </c>
      <c r="H16" s="8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9.5" thickBot="1" x14ac:dyDescent="0.3">
      <c r="A17" s="8"/>
      <c r="B17" s="8"/>
      <c r="C17" s="22"/>
      <c r="D17" s="14"/>
      <c r="E17" s="8"/>
      <c r="F17" s="23"/>
      <c r="G17" s="14"/>
      <c r="H17" s="8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9.5" thickBot="1" x14ac:dyDescent="0.3">
      <c r="A18" s="8"/>
      <c r="B18" s="3" t="s">
        <v>7</v>
      </c>
      <c r="C18" s="20">
        <f t="array" ref="C18">SUM(C10:G10*C10:G10)/COUNT(C3:G3)</f>
        <v>1.61001352755554E-8</v>
      </c>
      <c r="D18" s="20">
        <f>SUM(C12:G12)/COUNT(C3:G3)</f>
        <v>1.61001352755554E-8</v>
      </c>
      <c r="E18" s="14"/>
      <c r="F18" s="14"/>
      <c r="G18" s="14"/>
      <c r="H18" s="8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x14ac:dyDescent="0.25">
      <c r="A19" s="8"/>
      <c r="B19" s="8"/>
      <c r="C19" s="8"/>
      <c r="D19" s="8"/>
      <c r="E19" s="8"/>
      <c r="F19" s="8"/>
      <c r="G19" s="8"/>
      <c r="H19" s="8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5.75" thickBot="1" x14ac:dyDescent="0.3">
      <c r="A20" s="8"/>
      <c r="B20" s="8"/>
      <c r="C20" s="8"/>
      <c r="D20" s="8"/>
      <c r="E20" s="8"/>
      <c r="F20" s="8"/>
      <c r="G20" s="8"/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9.5" thickBot="1" x14ac:dyDescent="0.3">
      <c r="A21" s="8"/>
      <c r="B21" s="3" t="s">
        <v>9</v>
      </c>
      <c r="C21" s="1" t="s">
        <v>0</v>
      </c>
      <c r="D21" s="1" t="s">
        <v>1</v>
      </c>
      <c r="E21" s="3" t="s">
        <v>7</v>
      </c>
      <c r="F21" s="8"/>
      <c r="G21" s="8"/>
      <c r="H21" s="8"/>
      <c r="I21" s="6"/>
      <c r="J21" s="24" t="s">
        <v>10</v>
      </c>
      <c r="K21" s="2">
        <v>500</v>
      </c>
      <c r="L21" s="4" t="s">
        <v>11</v>
      </c>
      <c r="M21" s="2">
        <v>0.05</v>
      </c>
      <c r="N21" s="6"/>
      <c r="O21" s="6"/>
      <c r="P21" s="6"/>
      <c r="Q21" s="6"/>
      <c r="R21" s="6"/>
      <c r="S21" s="6"/>
    </row>
    <row r="22" spans="1:19" x14ac:dyDescent="0.25">
      <c r="A22" s="8"/>
      <c r="B22" s="29">
        <v>1</v>
      </c>
      <c r="C22" s="29">
        <v>3.1</v>
      </c>
      <c r="D22" s="29">
        <v>-3.0000000000000027E-2</v>
      </c>
      <c r="E22" s="29">
        <v>2.492900000000001</v>
      </c>
      <c r="F22" s="8"/>
      <c r="G22" s="8"/>
      <c r="H22" s="8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25">
      <c r="A23" s="8"/>
      <c r="B23" s="30">
        <v>2</v>
      </c>
      <c r="C23" s="30">
        <v>2.7989999999999999</v>
      </c>
      <c r="D23" s="30">
        <v>3.3299999999999969E-2</v>
      </c>
      <c r="E23" s="30">
        <v>1.60136009</v>
      </c>
      <c r="F23" s="8"/>
      <c r="G23" s="8"/>
      <c r="H23" s="8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25">
      <c r="A24" s="8"/>
      <c r="B24" s="30">
        <v>3</v>
      </c>
      <c r="C24" s="30">
        <v>2.8101099999999999</v>
      </c>
      <c r="D24" s="30">
        <v>8.6936999999999987E-2</v>
      </c>
      <c r="E24" s="30">
        <v>1.5455875734890003</v>
      </c>
      <c r="F24" s="8"/>
      <c r="G24" s="8"/>
      <c r="H24" s="8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25">
      <c r="A25" s="8"/>
      <c r="B25" s="30">
        <v>4</v>
      </c>
      <c r="C25" s="30">
        <v>2.7929078999999999</v>
      </c>
      <c r="D25" s="30">
        <v>0.14037092999999998</v>
      </c>
      <c r="E25" s="30">
        <v>1.4886758506596565</v>
      </c>
      <c r="F25" s="8"/>
      <c r="G25" s="8"/>
      <c r="H25" s="8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25">
      <c r="A26" s="8"/>
      <c r="B26" s="30">
        <v>5</v>
      </c>
      <c r="C26" s="30">
        <v>2.7785979310000002</v>
      </c>
      <c r="D26" s="30">
        <v>0.19275445769999996</v>
      </c>
      <c r="E26" s="30">
        <v>1.4346962282329918</v>
      </c>
      <c r="F26" s="8"/>
      <c r="G26" s="8"/>
      <c r="H26" s="8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25">
      <c r="A27" s="8"/>
      <c r="B27" s="30">
        <v>6</v>
      </c>
      <c r="C27" s="30">
        <v>2.76431386959</v>
      </c>
      <c r="D27" s="30">
        <v>0.244184851053</v>
      </c>
      <c r="E27" s="30">
        <v>1.3826032966912674</v>
      </c>
      <c r="F27" s="8"/>
      <c r="G27" s="8"/>
      <c r="H27" s="8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5">
      <c r="A28" s="8"/>
      <c r="B28" s="30">
        <v>7</v>
      </c>
      <c r="C28" s="30">
        <v>2.7503131577251003</v>
      </c>
      <c r="D28" s="30">
        <v>0.29467241863016996</v>
      </c>
      <c r="E28" s="30">
        <v>1.332408222179426</v>
      </c>
      <c r="F28" s="8"/>
      <c r="G28" s="8"/>
      <c r="H28" s="8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25">
      <c r="A29" s="8"/>
      <c r="B29" s="30">
        <v>8</v>
      </c>
      <c r="C29" s="30">
        <v>2.7365669586384387</v>
      </c>
      <c r="D29" s="30">
        <v>0.34423508917562129</v>
      </c>
      <c r="E29" s="30">
        <v>1.2840348923551117</v>
      </c>
      <c r="F29" s="8"/>
      <c r="G29" s="8"/>
      <c r="H29" s="8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25">
      <c r="A30" s="8"/>
      <c r="B30" s="30">
        <v>9</v>
      </c>
      <c r="C30" s="30">
        <v>2.7230727773834698</v>
      </c>
      <c r="D30" s="30">
        <v>0.39288974704301827</v>
      </c>
      <c r="E30" s="30">
        <v>1.2374178170937591</v>
      </c>
      <c r="F30" s="8"/>
      <c r="G30" s="8"/>
      <c r="H30" s="8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25">
      <c r="A31" s="8"/>
      <c r="B31" s="30">
        <v>10</v>
      </c>
      <c r="C31" s="30">
        <v>2.7098257981487475</v>
      </c>
      <c r="D31" s="30">
        <v>0.44065303289409224</v>
      </c>
      <c r="E31" s="30">
        <v>1.1924931769336162</v>
      </c>
      <c r="F31" s="8"/>
      <c r="G31" s="8"/>
      <c r="H31" s="8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25">
      <c r="A32" s="8"/>
      <c r="B32" s="30">
        <v>11</v>
      </c>
      <c r="C32" s="30">
        <v>2.6968215103168975</v>
      </c>
      <c r="D32" s="30">
        <v>0.48754127650961376</v>
      </c>
      <c r="E32" s="30">
        <v>1.1491995330178726</v>
      </c>
      <c r="F32" s="8"/>
      <c r="G32" s="8"/>
      <c r="H32" s="8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25">
      <c r="A33" s="8"/>
      <c r="B33" s="30">
        <v>12</v>
      </c>
      <c r="C33" s="30">
        <v>2.6840554660154261</v>
      </c>
      <c r="D33" s="30">
        <v>0.53357050905402459</v>
      </c>
      <c r="E33" s="30">
        <v>1.1074776713099863</v>
      </c>
      <c r="F33" s="8"/>
      <c r="G33" s="8"/>
      <c r="H33" s="8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25">
      <c r="A34" s="8"/>
      <c r="B34" s="30">
        <v>13</v>
      </c>
      <c r="C34" s="30">
        <v>2.6715233006822499</v>
      </c>
      <c r="D34" s="30">
        <v>0.57875646794394719</v>
      </c>
      <c r="E34" s="30">
        <v>1.0672705280633099</v>
      </c>
      <c r="F34" s="8"/>
      <c r="G34" s="8"/>
      <c r="H34" s="8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5">
      <c r="A35" s="8"/>
      <c r="B35" s="30">
        <v>14</v>
      </c>
      <c r="C35" s="30">
        <v>2.6592207295485908</v>
      </c>
      <c r="D35" s="30">
        <v>0.62311460228497528</v>
      </c>
      <c r="E35" s="30">
        <v>1.0285231111927042</v>
      </c>
      <c r="F35" s="8"/>
      <c r="G35" s="8"/>
      <c r="H35" s="8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25">
      <c r="A36" s="8"/>
      <c r="B36" s="30">
        <v>15</v>
      </c>
      <c r="C36" s="30">
        <v>2.6471435463596484</v>
      </c>
      <c r="D36" s="30">
        <v>0.6666600781485833</v>
      </c>
      <c r="E36" s="30">
        <v>0.99118242511311794</v>
      </c>
      <c r="F36" s="8"/>
      <c r="G36" s="8"/>
      <c r="H36" s="8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25">
      <c r="A37" s="8"/>
      <c r="B37" s="30">
        <v>16</v>
      </c>
      <c r="C37" s="30">
        <v>2.6352876219194603</v>
      </c>
      <c r="D37" s="30">
        <v>0.70940778375788693</v>
      </c>
      <c r="E37" s="30">
        <v>0.9551973982518005</v>
      </c>
      <c r="F37" s="8"/>
      <c r="G37" s="8"/>
      <c r="H37" s="8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25">
      <c r="A38" s="8"/>
      <c r="B38" s="30">
        <v>17</v>
      </c>
      <c r="C38" s="30">
        <v>2.6236489026806877</v>
      </c>
      <c r="D38" s="30">
        <v>0.75137233457789188</v>
      </c>
      <c r="E38" s="30">
        <v>0.92051881319715978</v>
      </c>
      <c r="F38" s="8"/>
      <c r="G38" s="8"/>
      <c r="H38" s="8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25">
      <c r="A39" s="8"/>
      <c r="B39" s="30">
        <v>18</v>
      </c>
      <c r="C39" s="30">
        <v>2.6122234093585637</v>
      </c>
      <c r="D39" s="30">
        <v>0.79256807831253351</v>
      </c>
      <c r="E39" s="30">
        <v>0.88709923938311841</v>
      </c>
      <c r="F39" s="8"/>
      <c r="G39" s="8"/>
      <c r="H39" s="8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25">
      <c r="A40" s="8"/>
      <c r="B40" s="30">
        <v>19</v>
      </c>
      <c r="C40" s="30">
        <v>2.6010072355703837</v>
      </c>
      <c r="D40" s="30">
        <v>0.83300909981016502</v>
      </c>
      <c r="E40" s="30">
        <v>0.85489296821743266</v>
      </c>
      <c r="F40" s="8"/>
      <c r="G40" s="8"/>
      <c r="H40" s="8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25">
      <c r="A41" s="8"/>
      <c r="B41" s="30">
        <v>20</v>
      </c>
      <c r="C41" s="30">
        <v>2.5899965464999122</v>
      </c>
      <c r="D41" s="30">
        <v>0.87270922587917488</v>
      </c>
      <c r="E41" s="30">
        <v>0.82385595056516314</v>
      </c>
      <c r="F41" s="8"/>
      <c r="G41" s="8"/>
      <c r="H41" s="8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25">
      <c r="A42" s="8"/>
      <c r="B42" s="30">
        <v>21</v>
      </c>
      <c r="C42" s="30">
        <v>2.5791875775862563</v>
      </c>
      <c r="D42" s="30">
        <v>0.91168203001538051</v>
      </c>
      <c r="E42" s="30">
        <v>0.79394573650183475</v>
      </c>
      <c r="F42" s="8"/>
      <c r="G42" s="8"/>
      <c r="H42" s="8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25">
      <c r="A43" s="8"/>
      <c r="B43" s="30">
        <v>22</v>
      </c>
      <c r="C43" s="30">
        <v>2.5685766332367601</v>
      </c>
      <c r="D43" s="30">
        <v>0.9499408370428144</v>
      </c>
      <c r="E43" s="30">
        <v>0.76512141725385452</v>
      </c>
      <c r="F43" s="8"/>
      <c r="G43" s="8"/>
      <c r="H43" s="8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25">
      <c r="A44" s="8"/>
      <c r="B44" s="30">
        <v>23</v>
      </c>
      <c r="C44" s="30">
        <v>2.5581600855634798</v>
      </c>
      <c r="D44" s="30">
        <v>0.9874987276694891</v>
      </c>
      <c r="E44" s="30">
        <v>0.73734356924680744</v>
      </c>
      <c r="F44" s="8"/>
      <c r="G44" s="8"/>
      <c r="H44" s="8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25">
      <c r="A45" s="8"/>
      <c r="B45" s="30">
        <v>24</v>
      </c>
      <c r="C45" s="30">
        <v>2.5479343731428052</v>
      </c>
      <c r="D45" s="30">
        <v>1.0243685429596985</v>
      </c>
      <c r="E45" s="30">
        <v>0.71057420018506567</v>
      </c>
      <c r="F45" s="8"/>
      <c r="G45" s="8"/>
      <c r="H45" s="8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25">
      <c r="A46" s="8"/>
      <c r="B46" s="30">
        <v>25</v>
      </c>
      <c r="C46" s="30">
        <v>2.5378959997978097</v>
      </c>
      <c r="D46" s="30">
        <v>1.0605628887243856</v>
      </c>
      <c r="E46" s="30">
        <v>0.68477669708900313</v>
      </c>
      <c r="F46" s="8"/>
      <c r="G46" s="8"/>
      <c r="H46" s="8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25">
      <c r="A47" s="8"/>
      <c r="B47" s="30">
        <v>26</v>
      </c>
      <c r="C47" s="30">
        <v>2.5280415334029032</v>
      </c>
      <c r="D47" s="30">
        <v>1.0960941398310762</v>
      </c>
      <c r="E47" s="30">
        <v>0.65991577621872</v>
      </c>
      <c r="F47" s="8"/>
      <c r="G47" s="8"/>
      <c r="H47" s="8"/>
      <c r="I47" s="5"/>
      <c r="J47" s="5"/>
      <c r="K47" s="5"/>
      <c r="L47" s="5"/>
      <c r="M47" s="5"/>
    </row>
    <row r="48" spans="1:19" x14ac:dyDescent="0.25">
      <c r="A48" s="8"/>
      <c r="B48" s="30">
        <v>27</v>
      </c>
      <c r="C48" s="30">
        <v>2.5183676047103871</v>
      </c>
      <c r="D48" s="30">
        <v>1.1309744444348524</v>
      </c>
      <c r="E48" s="30">
        <v>0.63595743481579747</v>
      </c>
      <c r="F48" s="8"/>
      <c r="G48" s="8"/>
      <c r="H48" s="8"/>
      <c r="I48" s="5"/>
      <c r="J48" s="5"/>
      <c r="K48" s="5"/>
      <c r="L48" s="5"/>
      <c r="M48" s="5"/>
    </row>
    <row r="49" spans="1:13" x14ac:dyDescent="0.25">
      <c r="A49" s="8"/>
      <c r="B49" s="30">
        <v>28</v>
      </c>
      <c r="C49" s="30">
        <v>2.5088709061985055</v>
      </c>
      <c r="D49" s="30">
        <v>1.1652157281318156</v>
      </c>
      <c r="E49" s="30">
        <v>0.61286890459706544</v>
      </c>
      <c r="F49" s="8"/>
      <c r="G49" s="8"/>
      <c r="H49" s="8"/>
      <c r="I49" s="5"/>
      <c r="J49" s="5"/>
      <c r="K49" s="5"/>
      <c r="L49" s="5"/>
      <c r="M49" s="5"/>
    </row>
    <row r="50" spans="1:13" x14ac:dyDescent="0.25">
      <c r="A50" s="8"/>
      <c r="B50" s="30">
        <v>29</v>
      </c>
      <c r="C50" s="30">
        <v>2.4995481909406045</v>
      </c>
      <c r="D50" s="30">
        <v>1.1988296980364526</v>
      </c>
      <c r="E50" s="30">
        <v>0.59061860693679891</v>
      </c>
      <c r="F50" s="8"/>
      <c r="G50" s="8"/>
      <c r="H50" s="8"/>
      <c r="I50" s="5"/>
      <c r="J50" s="5"/>
      <c r="K50" s="5"/>
      <c r="L50" s="5"/>
      <c r="M50" s="5"/>
    </row>
    <row r="51" spans="1:13" x14ac:dyDescent="0.25">
      <c r="A51" s="8"/>
      <c r="B51" s="30">
        <v>30</v>
      </c>
      <c r="C51" s="30">
        <v>2.4903962714950039</v>
      </c>
      <c r="D51" s="30">
        <v>1.2318278467843062</v>
      </c>
      <c r="E51" s="30">
        <v>0.56917610967602639</v>
      </c>
      <c r="F51" s="8"/>
      <c r="G51" s="8"/>
      <c r="H51" s="8"/>
      <c r="I51" s="5"/>
      <c r="J51" s="5"/>
      <c r="K51" s="5"/>
      <c r="L51" s="5"/>
      <c r="M51" s="5"/>
    </row>
    <row r="52" spans="1:13" x14ac:dyDescent="0.25">
      <c r="A52" s="8"/>
      <c r="B52" s="30">
        <v>31</v>
      </c>
      <c r="C52" s="30">
        <v>2.4814120188152078</v>
      </c>
      <c r="D52" s="30">
        <v>1.2642214564613132</v>
      </c>
      <c r="E52" s="30">
        <v>0.54851208549987696</v>
      </c>
      <c r="F52" s="8"/>
      <c r="G52" s="8"/>
      <c r="H52" s="8"/>
      <c r="I52" s="5"/>
      <c r="J52" s="5"/>
      <c r="K52" s="5"/>
      <c r="L52" s="5"/>
      <c r="M52" s="5"/>
    </row>
    <row r="53" spans="1:13" x14ac:dyDescent="0.25">
      <c r="A53" s="8"/>
      <c r="B53" s="30">
        <v>32</v>
      </c>
      <c r="C53" s="30">
        <v>2.4725923611800855</v>
      </c>
      <c r="D53" s="30">
        <v>1.2960216024611562</v>
      </c>
      <c r="E53" s="30">
        <v>0.52859827182605479</v>
      </c>
      <c r="F53" s="8"/>
      <c r="G53" s="8"/>
      <c r="H53" s="8"/>
      <c r="I53" s="5"/>
      <c r="J53" s="5"/>
      <c r="K53" s="5"/>
      <c r="L53" s="5"/>
      <c r="M53" s="5"/>
    </row>
    <row r="54" spans="1:13" x14ac:dyDescent="0.25">
      <c r="A54" s="8"/>
      <c r="B54" s="30">
        <v>33</v>
      </c>
      <c r="C54" s="30">
        <v>2.4639342831436446</v>
      </c>
      <c r="D54" s="30">
        <v>1.3272391572719471</v>
      </c>
      <c r="E54" s="30">
        <v>0.50940743214955853</v>
      </c>
      <c r="F54" s="8"/>
      <c r="G54" s="8"/>
      <c r="H54" s="8"/>
      <c r="I54" s="5"/>
      <c r="J54" s="5"/>
      <c r="K54" s="5"/>
      <c r="L54" s="5"/>
      <c r="M54" s="5"/>
    </row>
    <row r="55" spans="1:13" x14ac:dyDescent="0.25">
      <c r="A55" s="8"/>
      <c r="B55" s="30">
        <v>34</v>
      </c>
      <c r="C55" s="30">
        <v>2.4554348245040516</v>
      </c>
      <c r="D55" s="30">
        <v>1.3578847941935368</v>
      </c>
      <c r="E55" s="30">
        <v>0.49091331879079492</v>
      </c>
      <c r="F55" s="8"/>
      <c r="G55" s="8"/>
      <c r="H55" s="8"/>
      <c r="I55" s="5"/>
      <c r="J55" s="5"/>
      <c r="K55" s="5"/>
      <c r="L55" s="5"/>
      <c r="M55" s="5"/>
    </row>
    <row r="56" spans="1:13" x14ac:dyDescent="0.25">
      <c r="A56" s="8"/>
      <c r="B56" s="30">
        <v>35</v>
      </c>
      <c r="C56" s="30">
        <v>2.4470910792915341</v>
      </c>
      <c r="D56" s="30">
        <v>1.387968990986723</v>
      </c>
      <c r="E56" s="30">
        <v>0.47309063699612042</v>
      </c>
      <c r="F56" s="8"/>
      <c r="G56" s="8"/>
      <c r="H56" s="8"/>
      <c r="I56" s="5"/>
      <c r="J56" s="5"/>
      <c r="K56" s="5"/>
      <c r="L56" s="5"/>
      <c r="M56" s="5"/>
    </row>
    <row r="57" spans="1:13" x14ac:dyDescent="0.25">
      <c r="A57" s="8"/>
      <c r="B57" s="30">
        <v>36</v>
      </c>
      <c r="C57" s="30">
        <v>2.4389001947748299</v>
      </c>
      <c r="D57" s="30">
        <v>1.4175020334556017</v>
      </c>
      <c r="E57" s="30">
        <v>0.45591501034172327</v>
      </c>
      <c r="F57" s="8"/>
      <c r="G57" s="8"/>
      <c r="H57" s="8"/>
      <c r="I57" s="5"/>
      <c r="J57" s="5"/>
      <c r="K57" s="5"/>
      <c r="L57" s="5"/>
      <c r="M57" s="5"/>
    </row>
    <row r="58" spans="1:13" x14ac:dyDescent="0.25">
      <c r="A58" s="8"/>
      <c r="B58" s="30">
        <v>37</v>
      </c>
      <c r="C58" s="30">
        <v>2.4308593704858366</v>
      </c>
      <c r="D58" s="30">
        <v>1.4464940189642905</v>
      </c>
      <c r="E58" s="30">
        <v>0.439362947393521</v>
      </c>
      <c r="F58" s="8"/>
      <c r="G58" s="8"/>
      <c r="H58" s="8"/>
      <c r="I58" s="5"/>
      <c r="J58" s="5"/>
      <c r="K58" s="5"/>
      <c r="L58" s="5"/>
      <c r="M58" s="5"/>
    </row>
    <row r="59" spans="1:13" x14ac:dyDescent="0.25">
      <c r="A59" s="8"/>
      <c r="B59" s="30">
        <v>38</v>
      </c>
      <c r="C59" s="30">
        <v>2.4229658572621289</v>
      </c>
      <c r="D59" s="30">
        <v>1.4749548598892228</v>
      </c>
      <c r="E59" s="30">
        <v>0.42341180957747387</v>
      </c>
      <c r="F59" s="8"/>
      <c r="G59" s="8"/>
      <c r="H59" s="8"/>
      <c r="I59" s="5"/>
      <c r="J59" s="5"/>
      <c r="K59" s="5"/>
      <c r="L59" s="5"/>
      <c r="M59" s="5"/>
    </row>
    <row r="60" spans="1:13" x14ac:dyDescent="0.25">
      <c r="A60" s="8"/>
      <c r="B60" s="30">
        <v>39</v>
      </c>
      <c r="C60" s="30">
        <v>2.4152169563070203</v>
      </c>
      <c r="D60" s="30">
        <v>1.5028942870081945</v>
      </c>
      <c r="E60" s="30">
        <v>0.40803978021637449</v>
      </c>
      <c r="F60" s="8"/>
      <c r="G60" s="8"/>
      <c r="H60" s="8"/>
      <c r="I60" s="5"/>
      <c r="J60" s="5"/>
      <c r="K60" s="5"/>
      <c r="L60" s="5"/>
      <c r="M60" s="5"/>
    </row>
    <row r="61" spans="1:13" x14ac:dyDescent="0.25">
      <c r="A61" s="8"/>
      <c r="B61" s="30">
        <v>40</v>
      </c>
      <c r="C61" s="30">
        <v>2.4076100182668396</v>
      </c>
      <c r="D61" s="30">
        <v>1.530321852827323</v>
      </c>
      <c r="E61" s="30">
        <v>0.39322583469075995</v>
      </c>
      <c r="F61" s="8"/>
      <c r="G61" s="8"/>
      <c r="H61" s="8"/>
      <c r="I61" s="5"/>
      <c r="J61" s="5"/>
      <c r="K61" s="5"/>
      <c r="L61" s="5"/>
      <c r="M61" s="5"/>
    </row>
    <row r="62" spans="1:13" x14ac:dyDescent="0.25">
      <c r="A62" s="8"/>
      <c r="B62" s="30">
        <v>41</v>
      </c>
      <c r="C62" s="30">
        <v>2.400142442325119</v>
      </c>
      <c r="D62" s="30">
        <v>1.557246934847055</v>
      </c>
      <c r="E62" s="30">
        <v>0.37894971168313563</v>
      </c>
      <c r="F62" s="8"/>
      <c r="G62" s="8"/>
      <c r="H62" s="8"/>
      <c r="I62" s="5"/>
      <c r="J62" s="5"/>
      <c r="K62" s="5"/>
      <c r="L62" s="5"/>
      <c r="M62" s="5"/>
    </row>
    <row r="63" spans="1:13" x14ac:dyDescent="0.25">
      <c r="A63" s="8"/>
      <c r="B63" s="30">
        <v>42</v>
      </c>
      <c r="C63" s="30">
        <v>2.3928116753133715</v>
      </c>
      <c r="D63" s="30">
        <v>1.5836787387683382</v>
      </c>
      <c r="E63" s="30">
        <v>0.36519188546618064</v>
      </c>
      <c r="F63" s="8"/>
      <c r="G63" s="8"/>
      <c r="H63" s="8"/>
      <c r="I63" s="5"/>
      <c r="J63" s="5"/>
      <c r="K63" s="5"/>
      <c r="L63" s="5"/>
      <c r="M63" s="5"/>
    </row>
    <row r="64" spans="1:13" x14ac:dyDescent="0.25">
      <c r="A64" s="8"/>
      <c r="B64" s="30">
        <v>43</v>
      </c>
      <c r="C64" s="30">
        <v>2.3856152108381616</v>
      </c>
      <c r="D64" s="30">
        <v>1.6096263016400558</v>
      </c>
      <c r="E64" s="30">
        <v>0.35193353919704073</v>
      </c>
      <c r="F64" s="8"/>
      <c r="G64" s="8"/>
      <c r="H64" s="8"/>
      <c r="I64" s="5"/>
      <c r="J64" s="5"/>
      <c r="K64" s="5"/>
      <c r="L64" s="5"/>
      <c r="M64" s="5"/>
    </row>
    <row r="65" spans="1:13" x14ac:dyDescent="0.25">
      <c r="A65" s="8"/>
      <c r="B65" s="30">
        <v>44</v>
      </c>
      <c r="C65" s="30">
        <v>2.3785505884241673</v>
      </c>
      <c r="D65" s="30">
        <v>1.6350984949488001</v>
      </c>
      <c r="E65" s="30">
        <v>0.33915653918116717</v>
      </c>
      <c r="F65" s="8"/>
      <c r="G65" s="8"/>
      <c r="H65" s="8"/>
      <c r="I65" s="5"/>
      <c r="J65" s="5"/>
      <c r="K65" s="5"/>
      <c r="L65" s="5"/>
      <c r="M65" s="5"/>
    </row>
    <row r="66" spans="1:13" x14ac:dyDescent="0.25">
      <c r="A66" s="8"/>
      <c r="B66" s="30">
        <v>45</v>
      </c>
      <c r="C66" s="30">
        <v>2.3716153926729433</v>
      </c>
      <c r="D66" s="30">
        <v>1.6601040276520371</v>
      </c>
      <c r="E66" s="30">
        <v>0.32684341007051654</v>
      </c>
      <c r="F66" s="8"/>
      <c r="G66" s="8"/>
      <c r="H66" s="8"/>
      <c r="I66" s="5"/>
      <c r="J66" s="5"/>
      <c r="K66" s="5"/>
      <c r="L66" s="5"/>
      <c r="M66" s="5"/>
    </row>
    <row r="67" spans="1:13" x14ac:dyDescent="0.25">
      <c r="A67" s="8"/>
      <c r="B67" s="30">
        <v>46</v>
      </c>
      <c r="C67" s="30">
        <v>2.3648072524370942</v>
      </c>
      <c r="D67" s="30">
        <v>1.6846514491557052</v>
      </c>
      <c r="E67" s="30">
        <v>0.31497731096218173</v>
      </c>
      <c r="F67" s="8"/>
      <c r="G67" s="8"/>
      <c r="H67" s="8"/>
      <c r="I67" s="5"/>
      <c r="J67" s="5"/>
      <c r="K67" s="5"/>
      <c r="L67" s="5"/>
      <c r="M67" s="5"/>
    </row>
    <row r="68" spans="1:13" x14ac:dyDescent="0.25">
      <c r="A68" s="8"/>
      <c r="B68" s="30">
        <v>47</v>
      </c>
      <c r="C68" s="30">
        <v>2.3581238400095792</v>
      </c>
      <c r="D68" s="30">
        <v>1.7087491522372609</v>
      </c>
      <c r="E68" s="30">
        <v>0.30354201236476552</v>
      </c>
      <c r="F68" s="8"/>
      <c r="G68" s="8"/>
      <c r="H68" s="8"/>
      <c r="I68" s="5"/>
      <c r="J68" s="5"/>
      <c r="K68" s="5"/>
      <c r="L68" s="5"/>
      <c r="M68" s="5"/>
    </row>
    <row r="69" spans="1:13" x14ac:dyDescent="0.25">
      <c r="A69" s="8"/>
      <c r="B69" s="30">
        <v>48</v>
      </c>
      <c r="C69" s="30">
        <v>2.3515628703278639</v>
      </c>
      <c r="D69" s="30">
        <v>1.7324053759151756</v>
      </c>
      <c r="E69" s="30">
        <v>0.29252187400099539</v>
      </c>
      <c r="F69" s="8"/>
      <c r="G69" s="8"/>
      <c r="H69" s="8"/>
      <c r="I69" s="5"/>
      <c r="J69" s="5"/>
      <c r="K69" s="5"/>
      <c r="L69" s="5"/>
      <c r="M69" s="5"/>
    </row>
    <row r="70" spans="1:13" x14ac:dyDescent="0.25">
      <c r="A70" s="8"/>
      <c r="B70" s="30">
        <v>49</v>
      </c>
      <c r="C70" s="30">
        <v>2.3451221001926608</v>
      </c>
      <c r="D70" s="30">
        <v>1.7556282082658599</v>
      </c>
      <c r="E70" s="30">
        <v>0.28190182341621267</v>
      </c>
      <c r="F70" s="8"/>
      <c r="G70" s="8"/>
      <c r="H70" s="8"/>
      <c r="I70" s="5"/>
      <c r="J70" s="5"/>
      <c r="K70" s="5"/>
      <c r="L70" s="5"/>
      <c r="M70" s="5"/>
    </row>
    <row r="71" spans="1:13" x14ac:dyDescent="0.25">
      <c r="A71" s="8"/>
      <c r="B71" s="30">
        <v>50</v>
      </c>
      <c r="C71" s="30">
        <v>2.338799327500976</v>
      </c>
      <c r="D71" s="30">
        <v>1.7784255891889811</v>
      </c>
      <c r="E71" s="30">
        <v>0.27166733536349208</v>
      </c>
      <c r="F71" s="8"/>
      <c r="G71" s="8"/>
      <c r="H71" s="8"/>
      <c r="I71" s="5"/>
      <c r="J71" s="5"/>
      <c r="K71" s="5"/>
      <c r="L71" s="5"/>
      <c r="M71" s="5"/>
    </row>
    <row r="72" spans="1:13" x14ac:dyDescent="0.25">
      <c r="A72" s="8"/>
      <c r="B72" s="30">
        <v>51</v>
      </c>
      <c r="C72" s="30">
        <v>2.332592390493208</v>
      </c>
      <c r="D72" s="30">
        <v>1.8008053131221207</v>
      </c>
      <c r="E72" s="30">
        <v>0.26180441193717957</v>
      </c>
      <c r="F72" s="8"/>
      <c r="G72" s="8"/>
      <c r="H72" s="8"/>
      <c r="I72" s="5"/>
      <c r="J72" s="5"/>
      <c r="K72" s="5"/>
      <c r="L72" s="5"/>
      <c r="M72" s="5"/>
    </row>
    <row r="73" spans="1:13" x14ac:dyDescent="0.25">
      <c r="A73" s="8"/>
      <c r="B73" s="30">
        <v>52</v>
      </c>
      <c r="C73" s="30">
        <v>2.3264991670140431</v>
      </c>
      <c r="D73" s="30">
        <v>1.8227750317056957</v>
      </c>
      <c r="E73" s="30">
        <v>0.25229956342768811</v>
      </c>
      <c r="F73" s="8"/>
      <c r="G73" s="8"/>
      <c r="H73" s="8"/>
      <c r="I73" s="5"/>
      <c r="J73" s="5"/>
      <c r="K73" s="5"/>
      <c r="L73" s="5"/>
      <c r="M73" s="5"/>
    </row>
    <row r="74" spans="1:13" x14ac:dyDescent="0.25">
      <c r="A74" s="8"/>
      <c r="B74" s="30">
        <v>53</v>
      </c>
      <c r="C74" s="30">
        <v>2.3205175737868871</v>
      </c>
      <c r="D74" s="30">
        <v>1.8443422563990599</v>
      </c>
      <c r="E74" s="30">
        <v>0.24313978987136448</v>
      </c>
      <c r="F74" s="8"/>
      <c r="G74" s="8"/>
      <c r="H74" s="8"/>
      <c r="I74" s="5"/>
      <c r="J74" s="5"/>
      <c r="K74" s="5"/>
      <c r="L74" s="5"/>
      <c r="M74" s="5"/>
    </row>
    <row r="75" spans="1:13" x14ac:dyDescent="0.25">
      <c r="A75" s="8"/>
      <c r="B75" s="30">
        <v>54</v>
      </c>
      <c r="C75" s="30">
        <v>2.3146455657015936</v>
      </c>
      <c r="D75" s="30">
        <v>1.865514361048676</v>
      </c>
      <c r="E75" s="30">
        <v>0.23431256327018907</v>
      </c>
      <c r="F75" s="8"/>
      <c r="G75" s="8"/>
      <c r="H75" s="8"/>
      <c r="I75" s="5"/>
      <c r="J75" s="5"/>
      <c r="K75" s="5"/>
      <c r="L75" s="5"/>
      <c r="M75" s="5"/>
    </row>
    <row r="76" spans="1:13" x14ac:dyDescent="0.25">
      <c r="A76" s="8"/>
      <c r="B76" s="30">
        <v>55</v>
      </c>
      <c r="C76" s="30">
        <v>2.3088811351152381</v>
      </c>
      <c r="D76" s="30">
        <v>1.886298584409237</v>
      </c>
      <c r="E76" s="30">
        <v>0.22580581045699272</v>
      </c>
      <c r="F76" s="8"/>
      <c r="G76" s="8"/>
      <c r="H76" s="8"/>
      <c r="I76" s="5"/>
      <c r="J76" s="5"/>
      <c r="K76" s="5"/>
      <c r="L76" s="5"/>
      <c r="M76" s="5"/>
    </row>
    <row r="77" spans="1:13" x14ac:dyDescent="0.25">
      <c r="A77" s="8"/>
      <c r="B77" s="30">
        <v>56</v>
      </c>
      <c r="C77" s="30">
        <v>2.3032223111657051</v>
      </c>
      <c r="D77" s="30">
        <v>1.9067020326186017</v>
      </c>
      <c r="E77" s="30">
        <v>0.21760789658275409</v>
      </c>
      <c r="F77" s="8"/>
      <c r="G77" s="8"/>
      <c r="H77" s="8"/>
      <c r="I77" s="5"/>
      <c r="J77" s="5"/>
      <c r="K77" s="5"/>
      <c r="L77" s="5"/>
      <c r="M77" s="5"/>
    </row>
    <row r="78" spans="1:13" x14ac:dyDescent="0.25">
      <c r="A78" s="8"/>
      <c r="B78" s="30">
        <v>57</v>
      </c>
      <c r="C78" s="30">
        <v>2.2976671590978488</v>
      </c>
      <c r="D78" s="30">
        <v>1.9267316816273869</v>
      </c>
      <c r="E78" s="30">
        <v>0.20970760920339346</v>
      </c>
      <c r="F78" s="8"/>
      <c r="G78" s="8"/>
      <c r="H78" s="8"/>
      <c r="I78" s="5"/>
      <c r="J78" s="5"/>
      <c r="K78" s="5"/>
      <c r="L78" s="5"/>
      <c r="M78" s="5"/>
    </row>
    <row r="79" spans="1:13" x14ac:dyDescent="0.25">
      <c r="A79" s="8"/>
      <c r="B79" s="30">
        <v>58</v>
      </c>
      <c r="C79" s="30">
        <v>2.2922137796019988</v>
      </c>
      <c r="D79" s="30">
        <v>1.9463943795840486</v>
      </c>
      <c r="E79" s="30">
        <v>0.2020941429442987</v>
      </c>
      <c r="F79" s="8"/>
      <c r="G79" s="8"/>
      <c r="H79" s="8"/>
      <c r="I79" s="5"/>
      <c r="J79" s="5"/>
      <c r="K79" s="5"/>
      <c r="L79" s="5"/>
      <c r="M79" s="5"/>
    </row>
    <row r="80" spans="1:13" x14ac:dyDescent="0.25">
      <c r="A80" s="8"/>
      <c r="B80" s="30">
        <v>59</v>
      </c>
      <c r="C80" s="30">
        <v>2.2868603081645853</v>
      </c>
      <c r="D80" s="30">
        <v>1.9656968491762681</v>
      </c>
      <c r="E80" s="30">
        <v>0.19475708472160497</v>
      </c>
      <c r="F80" s="8"/>
      <c r="G80" s="8"/>
      <c r="H80" s="8"/>
      <c r="I80" s="5"/>
      <c r="J80" s="5"/>
      <c r="K80" s="5"/>
      <c r="L80" s="5"/>
      <c r="M80" s="5"/>
    </row>
    <row r="81" spans="1:13" x14ac:dyDescent="0.25">
      <c r="A81" s="8"/>
      <c r="B81" s="30">
        <v>60</v>
      </c>
      <c r="C81" s="30">
        <v>2.2816049144306612</v>
      </c>
      <c r="D81" s="30">
        <v>1.9846456899294429</v>
      </c>
      <c r="E81" s="30">
        <v>0.18768639950002336</v>
      </c>
      <c r="F81" s="8"/>
      <c r="G81" s="8"/>
      <c r="H81" s="8"/>
      <c r="I81" s="5"/>
      <c r="J81" s="5"/>
      <c r="K81" s="5"/>
      <c r="L81" s="5"/>
      <c r="M81" s="5"/>
    </row>
    <row r="82" spans="1:13" x14ac:dyDescent="0.25">
      <c r="A82" s="8"/>
      <c r="B82" s="30">
        <v>61</v>
      </c>
      <c r="C82" s="30">
        <v>2.2764458015781011</v>
      </c>
      <c r="D82" s="30">
        <v>2.0032473804630682</v>
      </c>
      <c r="E82" s="30">
        <v>0.18087241656772773</v>
      </c>
      <c r="F82" s="8"/>
      <c r="G82" s="8"/>
      <c r="H82" s="8"/>
      <c r="I82" s="5"/>
      <c r="J82" s="5"/>
      <c r="K82" s="5"/>
      <c r="L82" s="5"/>
      <c r="M82" s="5"/>
    </row>
    <row r="83" spans="1:13" x14ac:dyDescent="0.25">
      <c r="A83" s="8"/>
      <c r="B83" s="30">
        <v>62</v>
      </c>
      <c r="C83" s="30">
        <v>2.2713812057032694</v>
      </c>
      <c r="D83" s="30">
        <v>2.0215082807057807</v>
      </c>
      <c r="E83" s="30">
        <v>0.17430581630953795</v>
      </c>
      <c r="F83" s="8"/>
      <c r="G83" s="8"/>
      <c r="H83" s="8"/>
      <c r="I83" s="5"/>
      <c r="J83" s="5"/>
      <c r="K83" s="5"/>
      <c r="L83" s="5"/>
      <c r="M83" s="5"/>
    </row>
    <row r="84" spans="1:13" x14ac:dyDescent="0.25">
      <c r="A84" s="8"/>
      <c r="B84" s="30">
        <v>63</v>
      </c>
      <c r="C84" s="30">
        <v>2.2664093952179387</v>
      </c>
      <c r="D84" s="30">
        <v>2.0394346340698211</v>
      </c>
      <c r="E84" s="30">
        <v>0.16797761746030304</v>
      </c>
      <c r="F84" s="8"/>
      <c r="G84" s="8"/>
      <c r="H84" s="8"/>
      <c r="I84" s="5"/>
      <c r="J84" s="5"/>
      <c r="K84" s="5"/>
      <c r="L84" s="5"/>
      <c r="M84" s="5"/>
    </row>
    <row r="85" spans="1:13" x14ac:dyDescent="0.25">
      <c r="A85" s="8"/>
      <c r="B85" s="30">
        <v>64</v>
      </c>
      <c r="C85" s="30">
        <v>2.2615286702572601</v>
      </c>
      <c r="D85" s="30">
        <v>2.0570325695856608</v>
      </c>
      <c r="E85" s="30">
        <v>0.16187916482105336</v>
      </c>
      <c r="F85" s="8"/>
      <c r="G85" s="8"/>
      <c r="H85" s="8"/>
      <c r="I85" s="5"/>
      <c r="J85" s="5"/>
      <c r="K85" s="5"/>
      <c r="L85" s="5"/>
      <c r="M85" s="5"/>
    </row>
    <row r="86" spans="1:13" x14ac:dyDescent="0.25">
      <c r="A86" s="8"/>
      <c r="B86" s="30">
        <v>65</v>
      </c>
      <c r="C86" s="30">
        <v>2.2567373620985758</v>
      </c>
      <c r="D86" s="30">
        <v>2.074308103997522</v>
      </c>
      <c r="E86" s="30">
        <v>0.1560021174211178</v>
      </c>
      <c r="F86" s="8"/>
      <c r="G86" s="8"/>
      <c r="H86" s="8"/>
      <c r="I86" s="5"/>
      <c r="J86" s="5"/>
      <c r="K86" s="5"/>
      <c r="L86" s="5"/>
      <c r="M86" s="5"/>
    </row>
    <row r="87" spans="1:13" x14ac:dyDescent="0.25">
      <c r="A87" s="8"/>
      <c r="B87" s="30">
        <v>66</v>
      </c>
      <c r="C87" s="30">
        <v>2.252033832590886</v>
      </c>
      <c r="D87" s="30">
        <v>2.0912671438205042</v>
      </c>
      <c r="E87" s="30">
        <v>0.15033843711001807</v>
      </c>
      <c r="F87" s="8"/>
      <c r="G87" s="8"/>
      <c r="H87" s="8"/>
      <c r="I87" s="5"/>
      <c r="J87" s="5"/>
      <c r="K87" s="5"/>
      <c r="L87" s="5"/>
      <c r="M87" s="5"/>
    </row>
    <row r="88" spans="1:13" x14ac:dyDescent="0.25">
      <c r="A88" s="8"/>
      <c r="B88" s="30">
        <v>67</v>
      </c>
      <c r="C88" s="30">
        <v>2.2474164735947602</v>
      </c>
      <c r="D88" s="30">
        <v>2.1079154873600259</v>
      </c>
      <c r="E88" s="30">
        <v>0.14488037756353772</v>
      </c>
      <c r="F88" s="8"/>
      <c r="G88" s="8"/>
      <c r="H88" s="8"/>
      <c r="I88" s="5"/>
      <c r="J88" s="5"/>
      <c r="K88" s="5"/>
      <c r="L88" s="5"/>
      <c r="M88" s="5"/>
    </row>
    <row r="89" spans="1:13" x14ac:dyDescent="0.25">
      <c r="A89" s="8"/>
      <c r="B89" s="30">
        <v>68</v>
      </c>
      <c r="C89" s="30">
        <v>2.242883706432516</v>
      </c>
      <c r="D89" s="30">
        <v>2.1242588266942684</v>
      </c>
      <c r="E89" s="30">
        <v>0.13962047368892333</v>
      </c>
      <c r="F89" s="8"/>
      <c r="G89" s="8"/>
      <c r="H89" s="8"/>
      <c r="I89" s="5"/>
      <c r="J89" s="5"/>
      <c r="K89" s="5"/>
      <c r="L89" s="5"/>
      <c r="M89" s="5"/>
    </row>
    <row r="90" spans="1:13" x14ac:dyDescent="0.25">
      <c r="A90" s="8"/>
      <c r="B90" s="30">
        <v>69</v>
      </c>
      <c r="C90" s="30">
        <v>2.2384339813484679</v>
      </c>
      <c r="D90" s="30">
        <v>2.1403027496203011</v>
      </c>
      <c r="E90" s="30">
        <v>0.13455153141473794</v>
      </c>
      <c r="F90" s="8"/>
      <c r="G90" s="8"/>
      <c r="H90" s="8"/>
      <c r="I90" s="5"/>
      <c r="J90" s="5"/>
      <c r="K90" s="5"/>
      <c r="L90" s="5"/>
      <c r="M90" s="5"/>
    </row>
    <row r="91" spans="1:13" x14ac:dyDescent="0.25">
      <c r="A91" s="8"/>
      <c r="B91" s="30">
        <v>70</v>
      </c>
      <c r="C91" s="30">
        <v>2.2340657769790631</v>
      </c>
      <c r="D91" s="30">
        <v>2.1560527415645523</v>
      </c>
      <c r="E91" s="30">
        <v>0.12966661785138672</v>
      </c>
      <c r="F91" s="8"/>
      <c r="G91" s="8"/>
      <c r="H91" s="8"/>
      <c r="I91" s="5"/>
      <c r="J91" s="5"/>
      <c r="K91" s="5"/>
      <c r="L91" s="5"/>
      <c r="M91" s="5"/>
    </row>
    <row r="92" spans="1:13" x14ac:dyDescent="0.25">
      <c r="A92" s="8"/>
      <c r="B92" s="30">
        <v>71</v>
      </c>
      <c r="C92" s="30">
        <v>2.2297775998327278</v>
      </c>
      <c r="D92" s="30">
        <v>2.1715141874582788</v>
      </c>
      <c r="E92" s="30">
        <v>0.12495905180887353</v>
      </c>
      <c r="F92" s="8"/>
      <c r="G92" s="8"/>
      <c r="H92" s="8"/>
      <c r="I92" s="5"/>
      <c r="J92" s="5"/>
      <c r="K92" s="5"/>
      <c r="L92" s="5"/>
      <c r="M92" s="5"/>
    </row>
    <row r="93" spans="1:13" x14ac:dyDescent="0.25">
      <c r="A93" s="8"/>
      <c r="B93" s="30">
        <v>72</v>
      </c>
      <c r="C93" s="30">
        <v>2.2255679837792437</v>
      </c>
      <c r="D93" s="30">
        <v>2.1866923735786781</v>
      </c>
      <c r="E93" s="30">
        <v>0.12042239465880948</v>
      </c>
      <c r="F93" s="8"/>
      <c r="G93" s="8"/>
      <c r="H93" s="8"/>
      <c r="I93" s="5"/>
      <c r="J93" s="5"/>
      <c r="K93" s="5"/>
      <c r="L93" s="5"/>
      <c r="M93" s="5"/>
    </row>
    <row r="94" spans="1:13" x14ac:dyDescent="0.25">
      <c r="A94" s="8"/>
      <c r="B94" s="30">
        <v>73</v>
      </c>
      <c r="C94" s="30">
        <v>2.2214354895484725</v>
      </c>
      <c r="D94" s="30">
        <v>2.2015924893562686</v>
      </c>
      <c r="E94" s="30">
        <v>0.11605044152817678</v>
      </c>
      <c r="F94" s="8"/>
      <c r="G94" s="8"/>
      <c r="H94" s="8"/>
      <c r="I94" s="5"/>
      <c r="J94" s="5"/>
      <c r="K94" s="5"/>
      <c r="L94" s="5"/>
      <c r="M94" s="5"/>
    </row>
    <row r="95" spans="1:13" x14ac:dyDescent="0.25">
      <c r="A95" s="8"/>
      <c r="B95" s="30">
        <v>74</v>
      </c>
      <c r="C95" s="30">
        <v>2.2173787042382722</v>
      </c>
      <c r="D95" s="30">
        <v>2.21621962914916</v>
      </c>
      <c r="E95" s="30">
        <v>0.11183721281280434</v>
      </c>
      <c r="F95" s="8"/>
      <c r="G95" s="8"/>
      <c r="H95" s="8"/>
      <c r="I95" s="5"/>
      <c r="J95" s="5"/>
      <c r="K95" s="5"/>
      <c r="L95" s="5"/>
      <c r="M95" s="5"/>
    </row>
    <row r="96" spans="1:13" x14ac:dyDescent="0.25">
      <c r="A96" s="8"/>
      <c r="B96" s="30">
        <v>75</v>
      </c>
      <c r="C96" s="30">
        <v>2.2133962408314249</v>
      </c>
      <c r="D96" s="30">
        <v>2.2305787939848165</v>
      </c>
      <c r="E96" s="30">
        <v>0.10777694599894916</v>
      </c>
      <c r="F96" s="8"/>
      <c r="G96" s="8"/>
      <c r="H96" s="8"/>
      <c r="I96" s="5"/>
      <c r="J96" s="5"/>
      <c r="K96" s="5"/>
      <c r="L96" s="5"/>
      <c r="M96" s="5"/>
    </row>
    <row r="97" spans="1:13" x14ac:dyDescent="0.25">
      <c r="A97" s="8"/>
      <c r="B97" s="30">
        <v>76</v>
      </c>
      <c r="C97" s="30">
        <v>2.2094867377214125</v>
      </c>
      <c r="D97" s="30">
        <v>2.2446748932699112</v>
      </c>
      <c r="E97" s="30">
        <v>0.1038640877817945</v>
      </c>
      <c r="F97" s="8"/>
      <c r="G97" s="8"/>
      <c r="H97" s="8"/>
      <c r="I97" s="5"/>
      <c r="J97" s="5"/>
      <c r="K97" s="5"/>
      <c r="L97" s="5"/>
      <c r="M97" s="5"/>
    </row>
    <row r="98" spans="1:13" x14ac:dyDescent="0.25">
      <c r="A98" s="8"/>
      <c r="B98" s="30">
        <v>77</v>
      </c>
      <c r="C98" s="30">
        <v>2.2056488582468852</v>
      </c>
      <c r="D98" s="30">
        <v>2.2585127464688544</v>
      </c>
      <c r="E98" s="30">
        <v>0.10009328647009097</v>
      </c>
      <c r="F98" s="8"/>
      <c r="G98" s="8"/>
      <c r="H98" s="8"/>
      <c r="I98" s="5"/>
      <c r="J98" s="5"/>
      <c r="K98" s="5"/>
      <c r="L98" s="5"/>
      <c r="M98" s="5"/>
    </row>
    <row r="99" spans="1:13" x14ac:dyDescent="0.25">
      <c r="A99" s="8"/>
      <c r="B99" s="30">
        <v>78</v>
      </c>
      <c r="C99" s="30">
        <v>2.2018812902346552</v>
      </c>
      <c r="D99" s="30">
        <v>2.2720970847515725</v>
      </c>
      <c r="E99" s="30">
        <v>9.6459384666542872E-2</v>
      </c>
      <c r="F99" s="8"/>
      <c r="G99" s="8"/>
      <c r="H99" s="8"/>
      <c r="I99" s="5"/>
      <c r="J99" s="5"/>
      <c r="K99" s="5"/>
      <c r="L99" s="5"/>
      <c r="M99" s="5"/>
    </row>
    <row r="100" spans="1:13" x14ac:dyDescent="0.25">
      <c r="A100" s="8"/>
      <c r="B100" s="30">
        <v>79</v>
      </c>
      <c r="C100" s="30">
        <v>2.1981827455510627</v>
      </c>
      <c r="D100" s="30">
        <v>2.2854325526110966</v>
      </c>
      <c r="E100" s="30">
        <v>9.2957412213938523E-2</v>
      </c>
      <c r="F100" s="8"/>
      <c r="G100" s="8"/>
      <c r="H100" s="8"/>
      <c r="I100" s="5"/>
      <c r="J100" s="5"/>
      <c r="K100" s="5"/>
      <c r="L100" s="5"/>
      <c r="M100" s="5"/>
    </row>
    <row r="101" spans="1:13" x14ac:dyDescent="0.25">
      <c r="A101" s="8"/>
      <c r="B101" s="30">
        <v>80</v>
      </c>
      <c r="C101" s="30">
        <v>2.194551959661565</v>
      </c>
      <c r="D101" s="30">
        <v>2.2985237094515174</v>
      </c>
      <c r="E101" s="30">
        <v>8.9582579397370729E-2</v>
      </c>
      <c r="F101" s="8"/>
      <c r="G101" s="8"/>
      <c r="H101" s="8"/>
      <c r="I101" s="5"/>
      <c r="J101" s="5"/>
      <c r="K101" s="5"/>
      <c r="L101" s="5"/>
      <c r="M101" s="5"/>
    </row>
    <row r="102" spans="1:13" x14ac:dyDescent="0.25">
      <c r="A102" s="8"/>
      <c r="B102" s="30">
        <v>81</v>
      </c>
      <c r="C102" s="30">
        <v>2.1909876911983881</v>
      </c>
      <c r="D102" s="30">
        <v>2.3113750311468491</v>
      </c>
      <c r="E102" s="30">
        <v>8.633027039325096E-2</v>
      </c>
      <c r="F102" s="8"/>
      <c r="G102" s="8"/>
      <c r="H102" s="8"/>
      <c r="I102" s="5"/>
      <c r="J102" s="5"/>
      <c r="K102" s="5"/>
      <c r="L102" s="5"/>
      <c r="M102" s="5"/>
    </row>
    <row r="103" spans="1:13" x14ac:dyDescent="0.25">
      <c r="A103" s="8"/>
      <c r="B103" s="30">
        <v>82</v>
      </c>
      <c r="C103" s="30">
        <v>2.1874887215361065</v>
      </c>
      <c r="D103" s="30">
        <v>2.3239909115713324</v>
      </c>
      <c r="E103" s="30">
        <v>8.3196036956160596E-2</v>
      </c>
      <c r="F103" s="8"/>
      <c r="G103" s="8"/>
      <c r="H103" s="8"/>
      <c r="I103" s="5"/>
      <c r="J103" s="5"/>
      <c r="K103" s="5"/>
      <c r="L103" s="5"/>
      <c r="M103" s="5"/>
    </row>
    <row r="104" spans="1:13" x14ac:dyDescent="0.25">
      <c r="A104" s="8"/>
      <c r="B104" s="30">
        <v>83</v>
      </c>
      <c r="C104" s="30">
        <v>2.1840538543749894</v>
      </c>
      <c r="D104" s="30">
        <v>2.3363756641017024</v>
      </c>
      <c r="E104" s="30">
        <v>8.0175592334898321E-2</v>
      </c>
      <c r="F104" s="8"/>
      <c r="G104" s="8"/>
      <c r="H104" s="8"/>
      <c r="I104" s="5"/>
      <c r="J104" s="5"/>
      <c r="K104" s="5"/>
      <c r="L104" s="5"/>
      <c r="M104" s="5"/>
    </row>
    <row r="105" spans="1:13" x14ac:dyDescent="0.25">
      <c r="A105" s="8"/>
      <c r="B105" s="30">
        <v>84</v>
      </c>
      <c r="C105" s="30">
        <v>2.1806819153319905</v>
      </c>
      <c r="D105" s="30">
        <v>2.3485335230919349</v>
      </c>
      <c r="E105" s="30">
        <v>7.7264805409409956E-2</v>
      </c>
      <c r="F105" s="8"/>
      <c r="G105" s="8"/>
      <c r="H105" s="8"/>
      <c r="I105" s="5"/>
      <c r="J105" s="5"/>
      <c r="K105" s="5"/>
      <c r="L105" s="5"/>
      <c r="M105" s="5"/>
    </row>
    <row r="106" spans="1:13" x14ac:dyDescent="0.25">
      <c r="A106" s="8"/>
      <c r="B106" s="30">
        <v>85</v>
      </c>
      <c r="C106" s="30">
        <v>2.1773717515392206</v>
      </c>
      <c r="D106" s="30">
        <v>2.3604686453209753</v>
      </c>
      <c r="E106" s="30">
        <v>7.4459695040574841E-2</v>
      </c>
      <c r="F106" s="8"/>
      <c r="G106" s="8"/>
      <c r="H106" s="8"/>
      <c r="I106" s="5"/>
      <c r="J106" s="5"/>
      <c r="K106" s="5"/>
      <c r="L106" s="5"/>
      <c r="M106" s="5"/>
    </row>
    <row r="107" spans="1:13" x14ac:dyDescent="0.25">
      <c r="A107" s="8"/>
      <c r="B107" s="30">
        <v>86</v>
      </c>
      <c r="C107" s="30">
        <v>2.1741222312497852</v>
      </c>
      <c r="D107" s="30">
        <v>2.3721851114139421</v>
      </c>
      <c r="E107" s="30">
        <v>7.1756424625126464E-2</v>
      </c>
      <c r="F107" s="8"/>
      <c r="G107" s="8"/>
      <c r="H107" s="8"/>
      <c r="I107" s="5"/>
      <c r="J107" s="5"/>
      <c r="K107" s="5"/>
      <c r="L107" s="5"/>
      <c r="M107" s="5"/>
    </row>
    <row r="108" spans="1:13" x14ac:dyDescent="0.25">
      <c r="A108" s="8"/>
      <c r="B108" s="30">
        <v>87</v>
      </c>
      <c r="C108" s="30">
        <v>2.1709322434508391</v>
      </c>
      <c r="D108" s="30">
        <v>2.3836869272372962</v>
      </c>
      <c r="E108" s="30">
        <v>6.9151296848256688E-2</v>
      </c>
      <c r="F108" s="8"/>
      <c r="G108" s="8"/>
      <c r="H108" s="8"/>
      <c r="I108" s="5"/>
      <c r="J108" s="5"/>
      <c r="K108" s="5"/>
      <c r="L108" s="5"/>
      <c r="M108" s="5"/>
    </row>
    <row r="109" spans="1:13" x14ac:dyDescent="0.25">
      <c r="A109" s="8"/>
      <c r="B109" s="30">
        <v>88</v>
      </c>
      <c r="C109" s="30">
        <v>2.1678006974837274</v>
      </c>
      <c r="D109" s="30">
        <v>2.3949780252684483</v>
      </c>
      <c r="E109" s="30">
        <v>6.6640748626726865E-2</v>
      </c>
      <c r="F109" s="8"/>
      <c r="G109" s="8"/>
      <c r="H109" s="8"/>
      <c r="I109" s="5"/>
      <c r="J109" s="5"/>
      <c r="K109" s="5"/>
      <c r="L109" s="5"/>
      <c r="M109" s="5"/>
    </row>
    <row r="110" spans="1:13" x14ac:dyDescent="0.25">
      <c r="A110" s="8"/>
      <c r="B110" s="30">
        <v>89</v>
      </c>
      <c r="C110" s="30">
        <v>2.1647265226710926</v>
      </c>
      <c r="D110" s="30">
        <v>2.4060622659402755</v>
      </c>
      <c r="E110" s="30">
        <v>6.4221346235570326E-2</v>
      </c>
      <c r="F110" s="8"/>
      <c r="G110" s="8"/>
      <c r="H110" s="8"/>
      <c r="I110" s="5"/>
      <c r="J110" s="5"/>
      <c r="K110" s="5"/>
      <c r="L110" s="5"/>
      <c r="M110" s="5"/>
    </row>
    <row r="111" spans="1:13" x14ac:dyDescent="0.25">
      <c r="A111" s="8"/>
      <c r="B111" s="30">
        <v>90</v>
      </c>
      <c r="C111" s="30">
        <v>2.161708667950808</v>
      </c>
      <c r="D111" s="30">
        <v>2.4169434389610056</v>
      </c>
      <c r="E111" s="30">
        <v>6.1889780611721623E-2</v>
      </c>
      <c r="F111" s="8"/>
      <c r="G111" s="8"/>
      <c r="H111" s="8"/>
      <c r="I111" s="5"/>
      <c r="J111" s="5"/>
      <c r="K111" s="5"/>
      <c r="L111" s="5"/>
      <c r="M111" s="5"/>
    </row>
    <row r="112" spans="1:13" x14ac:dyDescent="0.25">
      <c r="A112" s="8"/>
      <c r="B112" s="30">
        <v>91</v>
      </c>
      <c r="C112" s="30">
        <v>2.1587461015166176</v>
      </c>
      <c r="D112" s="30">
        <v>2.4276252646099197</v>
      </c>
      <c r="E112" s="30">
        <v>5.964286282814648E-2</v>
      </c>
      <c r="F112" s="8"/>
      <c r="G112" s="8"/>
      <c r="H112" s="8"/>
      <c r="I112" s="5"/>
      <c r="J112" s="5"/>
      <c r="K112" s="5"/>
      <c r="L112" s="5"/>
      <c r="M112" s="5"/>
    </row>
    <row r="113" spans="1:13" x14ac:dyDescent="0.25">
      <c r="A113" s="8"/>
      <c r="B113" s="30">
        <v>92</v>
      </c>
      <c r="C113" s="30">
        <v>2.1558378104653624</v>
      </c>
      <c r="D113" s="30">
        <v>2.4381113950093192</v>
      </c>
      <c r="E113" s="30">
        <v>5.7477519732286195E-2</v>
      </c>
      <c r="F113" s="8"/>
      <c r="G113" s="8"/>
      <c r="H113" s="8"/>
      <c r="I113" s="5"/>
      <c r="J113" s="5"/>
      <c r="K113" s="5"/>
      <c r="L113" s="5"/>
      <c r="M113" s="5"/>
    </row>
    <row r="114" spans="1:13" x14ac:dyDescent="0.25">
      <c r="A114" s="8"/>
      <c r="B114" s="30">
        <v>93</v>
      </c>
      <c r="C114" s="30">
        <v>2.1529828004506681</v>
      </c>
      <c r="D114" s="30">
        <v>2.4484054153731867</v>
      </c>
      <c r="E114" s="30">
        <v>5.5390789742847543E-2</v>
      </c>
      <c r="F114" s="8"/>
      <c r="G114" s="8"/>
      <c r="H114" s="8"/>
      <c r="I114" s="5"/>
      <c r="J114" s="5"/>
      <c r="K114" s="5"/>
      <c r="L114" s="5"/>
      <c r="M114" s="5"/>
    </row>
    <row r="115" spans="1:13" x14ac:dyDescent="0.25">
      <c r="A115" s="8"/>
      <c r="B115" s="30">
        <v>94</v>
      </c>
      <c r="C115" s="30">
        <v>2.1501800953429768</v>
      </c>
      <c r="D115" s="30">
        <v>2.4585108452329751</v>
      </c>
      <c r="E115" s="30">
        <v>5.3379818799190258E-2</v>
      </c>
      <c r="F115" s="8"/>
      <c r="G115" s="8"/>
      <c r="H115" s="8"/>
      <c r="I115" s="5"/>
      <c r="J115" s="5"/>
      <c r="K115" s="5"/>
      <c r="L115" s="5"/>
      <c r="M115" s="5"/>
    </row>
    <row r="116" spans="1:13" x14ac:dyDescent="0.25">
      <c r="A116" s="8"/>
      <c r="B116" s="30">
        <v>95</v>
      </c>
      <c r="C116" s="30">
        <v>2.1474287368958098</v>
      </c>
      <c r="D116" s="30">
        <v>2.4684311396409346</v>
      </c>
      <c r="E116" s="30">
        <v>5.1441856457775978E-2</v>
      </c>
      <c r="F116" s="8"/>
      <c r="G116" s="8"/>
      <c r="H116" s="8"/>
      <c r="I116" s="5"/>
      <c r="J116" s="5"/>
      <c r="K116" s="5"/>
      <c r="L116" s="5"/>
      <c r="M116" s="5"/>
    </row>
    <row r="117" spans="1:13" x14ac:dyDescent="0.25">
      <c r="A117" s="8"/>
      <c r="B117" s="30">
        <v>96</v>
      </c>
      <c r="C117" s="30">
        <v>2.1447277844181389</v>
      </c>
      <c r="D117" s="30">
        <v>2.4781696903513994</v>
      </c>
      <c r="E117" s="30">
        <v>4.9574252130330523E-2</v>
      </c>
      <c r="F117" s="8"/>
      <c r="G117" s="8"/>
      <c r="H117" s="8"/>
      <c r="I117" s="5"/>
      <c r="J117" s="5"/>
      <c r="K117" s="5"/>
      <c r="L117" s="5"/>
      <c r="M117" s="5"/>
    </row>
    <row r="118" spans="1:13" x14ac:dyDescent="0.25">
      <c r="A118" s="8"/>
      <c r="B118" s="30">
        <v>97</v>
      </c>
      <c r="C118" s="30">
        <v>2.1420763144527664</v>
      </c>
      <c r="D118" s="30">
        <v>2.4877298269804298</v>
      </c>
      <c r="E118" s="30">
        <v>4.7774451458586324E-2</v>
      </c>
      <c r="F118" s="8"/>
      <c r="G118" s="8"/>
      <c r="H118" s="8"/>
      <c r="I118" s="5"/>
      <c r="J118" s="5"/>
      <c r="K118" s="5"/>
      <c r="L118" s="5"/>
      <c r="M118" s="5"/>
    </row>
    <row r="119" spans="1:13" x14ac:dyDescent="0.25">
      <c r="A119" s="8"/>
      <c r="B119" s="30">
        <v>98</v>
      </c>
      <c r="C119" s="30">
        <v>2.1394734204605945</v>
      </c>
      <c r="D119" s="30">
        <v>2.4971148181442082</v>
      </c>
      <c r="E119" s="30">
        <v>4.6039992820636089E-2</v>
      </c>
      <c r="F119" s="8"/>
      <c r="G119" s="8"/>
      <c r="H119" s="8"/>
      <c r="I119" s="5"/>
      <c r="J119" s="5"/>
      <c r="K119" s="5"/>
      <c r="L119" s="5"/>
      <c r="M119" s="5"/>
    </row>
    <row r="120" spans="1:13" x14ac:dyDescent="0.25">
      <c r="A120" s="8"/>
      <c r="B120" s="30">
        <v>99</v>
      </c>
      <c r="C120" s="30">
        <v>2.136918212510678</v>
      </c>
      <c r="D120" s="30">
        <v>2.5063278725765841</v>
      </c>
      <c r="E120" s="30">
        <v>4.4368503964125887E-2</v>
      </c>
      <c r="F120" s="8"/>
      <c r="G120" s="8"/>
      <c r="H120" s="8"/>
      <c r="I120" s="5"/>
      <c r="J120" s="5"/>
      <c r="K120" s="5"/>
      <c r="L120" s="5"/>
      <c r="M120" s="5"/>
    </row>
    <row r="121" spans="1:13" x14ac:dyDescent="0.25">
      <c r="A121" s="8"/>
      <c r="B121" s="30">
        <v>100</v>
      </c>
      <c r="C121" s="30">
        <v>2.1344098169759569</v>
      </c>
      <c r="D121" s="30">
        <v>2.5153721402261384</v>
      </c>
      <c r="E121" s="30">
        <v>4.2757698761679494E-2</v>
      </c>
      <c r="F121" s="8"/>
      <c r="G121" s="8"/>
      <c r="H121" s="8"/>
      <c r="I121" s="5"/>
      <c r="J121" s="5"/>
      <c r="K121" s="5"/>
      <c r="L121" s="5"/>
      <c r="M121" s="5"/>
    </row>
    <row r="122" spans="1:13" x14ac:dyDescent="0.25">
      <c r="A122" s="8"/>
      <c r="B122" s="30">
        <v>101</v>
      </c>
      <c r="C122" s="30">
        <v>2.1319473762345629</v>
      </c>
      <c r="D122" s="30">
        <v>2.5242507133331555</v>
      </c>
      <c r="E122" s="30">
        <v>4.1205374084119464E-2</v>
      </c>
      <c r="F122" s="8"/>
      <c r="G122" s="8"/>
      <c r="H122" s="8"/>
      <c r="I122" s="5"/>
      <c r="J122" s="5"/>
      <c r="K122" s="5"/>
      <c r="L122" s="5"/>
      <c r="M122" s="5"/>
    </row>
    <row r="123" spans="1:13" x14ac:dyDescent="0.25">
      <c r="A123" s="8"/>
      <c r="B123" s="30">
        <v>102</v>
      </c>
      <c r="C123" s="30">
        <v>2.1295300483765969</v>
      </c>
      <c r="D123" s="30">
        <v>2.5329666274868607</v>
      </c>
      <c r="E123" s="30">
        <v>3.9709406787202882E-2</v>
      </c>
      <c r="F123" s="8"/>
      <c r="G123" s="8"/>
      <c r="H123" s="8"/>
      <c r="I123" s="5"/>
      <c r="J123" s="5"/>
      <c r="K123" s="5"/>
      <c r="L123" s="5"/>
      <c r="M123" s="5"/>
    </row>
    <row r="124" spans="1:13" x14ac:dyDescent="0.25">
      <c r="A124" s="8"/>
      <c r="B124" s="30">
        <v>103</v>
      </c>
      <c r="C124" s="30">
        <v>2.1271570069162822</v>
      </c>
      <c r="D124" s="30">
        <v>2.5415228626632902</v>
      </c>
      <c r="E124" s="30">
        <v>3.8267750807758467E-2</v>
      </c>
      <c r="F124" s="8"/>
      <c r="G124" s="8"/>
      <c r="H124" s="8"/>
      <c r="I124" s="5"/>
      <c r="J124" s="5"/>
      <c r="K124" s="5"/>
      <c r="L124" s="5"/>
      <c r="M124" s="5"/>
    </row>
    <row r="125" spans="1:13" x14ac:dyDescent="0.25">
      <c r="A125" s="8"/>
      <c r="B125" s="30">
        <v>104</v>
      </c>
      <c r="C125" s="30">
        <v>2.1248274405093848</v>
      </c>
      <c r="D125" s="30">
        <v>2.5499223442441457</v>
      </c>
      <c r="E125" s="30">
        <v>3.6878434365245814E-2</v>
      </c>
      <c r="F125" s="8"/>
      <c r="G125" s="8"/>
      <c r="H125" s="8"/>
      <c r="I125" s="5"/>
      <c r="J125" s="5"/>
      <c r="K125" s="5"/>
      <c r="L125" s="5"/>
      <c r="M125" s="5"/>
    </row>
    <row r="126" spans="1:13" x14ac:dyDescent="0.25">
      <c r="A126" s="8"/>
      <c r="B126" s="30">
        <v>105</v>
      </c>
      <c r="C126" s="30">
        <v>2.1225405526758174</v>
      </c>
      <c r="D126" s="30">
        <v>2.558167944016986</v>
      </c>
      <c r="E126" s="30">
        <v>3.5539557264912425E-2</v>
      </c>
      <c r="F126" s="8"/>
      <c r="G126" s="8"/>
      <c r="H126" s="8"/>
      <c r="I126" s="5"/>
      <c r="J126" s="5"/>
      <c r="K126" s="5"/>
      <c r="L126" s="5"/>
      <c r="M126" s="5"/>
    </row>
    <row r="127" spans="1:13" x14ac:dyDescent="0.25">
      <c r="A127" s="8"/>
      <c r="B127" s="30">
        <v>106</v>
      </c>
      <c r="C127" s="30">
        <v>2.1202955615273225</v>
      </c>
      <c r="D127" s="30">
        <v>2.5662624811570907</v>
      </c>
      <c r="E127" s="30">
        <v>3.4249288298862979E-2</v>
      </c>
      <c r="F127" s="8"/>
      <c r="G127" s="8"/>
      <c r="H127" s="8"/>
      <c r="I127" s="5"/>
      <c r="J127" s="5"/>
      <c r="K127" s="5"/>
      <c r="L127" s="5"/>
      <c r="M127" s="5"/>
    </row>
    <row r="128" spans="1:13" x14ac:dyDescent="0.25">
      <c r="A128" s="8"/>
      <c r="B128" s="30">
        <v>107</v>
      </c>
      <c r="C128" s="30">
        <v>2.1180916995001406</v>
      </c>
      <c r="D128" s="30">
        <v>2.5742087231913393</v>
      </c>
      <c r="E128" s="30">
        <v>3.3005862741478882E-2</v>
      </c>
      <c r="F128" s="8"/>
      <c r="G128" s="8"/>
      <c r="H128" s="8"/>
      <c r="I128" s="5"/>
      <c r="J128" s="5"/>
      <c r="K128" s="5"/>
      <c r="L128" s="5"/>
      <c r="M128" s="5"/>
    </row>
    <row r="129" spans="1:13" x14ac:dyDescent="0.25">
      <c r="A129" s="8"/>
      <c r="B129" s="30">
        <v>108</v>
      </c>
      <c r="C129" s="30">
        <v>2.1159282130925843</v>
      </c>
      <c r="D129" s="30">
        <v>2.5820093869444301</v>
      </c>
      <c r="E129" s="30">
        <v>3.18075799357707E-2</v>
      </c>
      <c r="F129" s="8"/>
      <c r="G129" s="8"/>
      <c r="H129" s="8"/>
      <c r="I129" s="5"/>
      <c r="J129" s="5"/>
      <c r="K129" s="5"/>
      <c r="L129" s="5"/>
      <c r="M129" s="5"/>
    </row>
    <row r="130" spans="1:13" x14ac:dyDescent="0.25">
      <c r="A130" s="8"/>
      <c r="B130" s="30">
        <v>109</v>
      </c>
      <c r="C130" s="30">
        <v>2.1138043626074126</v>
      </c>
      <c r="D130" s="30">
        <v>2.5896671394677635</v>
      </c>
      <c r="E130" s="30">
        <v>3.0652800967356723E-2</v>
      </c>
      <c r="F130" s="8"/>
      <c r="G130" s="8"/>
      <c r="H130" s="8"/>
      <c r="I130" s="5"/>
      <c r="J130" s="5"/>
      <c r="K130" s="5"/>
      <c r="L130" s="5"/>
      <c r="M130" s="5"/>
    </row>
    <row r="131" spans="1:13" x14ac:dyDescent="0.25">
      <c r="A131" s="8"/>
      <c r="B131" s="30">
        <v>110</v>
      </c>
      <c r="C131" s="30">
        <v>2.1117194218989295</v>
      </c>
      <c r="D131" s="30">
        <v>2.5971845989513085</v>
      </c>
      <c r="E131" s="30">
        <v>2.9539946422887754E-2</v>
      </c>
      <c r="F131" s="8"/>
      <c r="G131" s="8"/>
      <c r="H131" s="8"/>
      <c r="I131" s="5"/>
      <c r="J131" s="5"/>
      <c r="K131" s="5"/>
      <c r="L131" s="5"/>
      <c r="M131" s="5"/>
    </row>
    <row r="132" spans="1:13" x14ac:dyDescent="0.25">
      <c r="A132" s="8"/>
      <c r="B132" s="30">
        <v>111</v>
      </c>
      <c r="C132" s="30">
        <v>2.1096726781247144</v>
      </c>
      <c r="D132" s="30">
        <v>2.6045643356187633</v>
      </c>
      <c r="E132" s="30">
        <v>2.8467494229853459E-2</v>
      </c>
      <c r="F132" s="8"/>
      <c r="G132" s="8"/>
      <c r="H132" s="8"/>
      <c r="I132" s="5"/>
      <c r="J132" s="5"/>
      <c r="K132" s="5"/>
      <c r="L132" s="5"/>
      <c r="M132" s="5"/>
    </row>
    <row r="133" spans="1:13" x14ac:dyDescent="0.25">
      <c r="A133" s="8"/>
      <c r="B133" s="30">
        <v>112</v>
      </c>
      <c r="C133" s="30">
        <v>2.1076634315018996</v>
      </c>
      <c r="D133" s="30">
        <v>2.6118088726063173</v>
      </c>
      <c r="E133" s="30">
        <v>2.7433977574815201E-2</v>
      </c>
      <c r="F133" s="8"/>
      <c r="G133" s="8"/>
      <c r="H133" s="8"/>
      <c r="I133" s="5"/>
      <c r="J133" s="5"/>
      <c r="K133" s="5"/>
      <c r="L133" s="5"/>
      <c r="M133" s="5"/>
    </row>
    <row r="134" spans="1:13" x14ac:dyDescent="0.25">
      <c r="A134" s="8"/>
      <c r="B134" s="30">
        <v>113</v>
      </c>
      <c r="C134" s="30">
        <v>2.1056909950679148</v>
      </c>
      <c r="D134" s="30">
        <v>2.618920686825311</v>
      </c>
      <c r="E134" s="30">
        <v>2.6437982897216095E-2</v>
      </c>
      <c r="F134" s="8"/>
      <c r="G134" s="8"/>
      <c r="H134" s="8"/>
      <c r="I134" s="5"/>
      <c r="J134" s="5"/>
      <c r="K134" s="5"/>
      <c r="L134" s="5"/>
      <c r="M134" s="5"/>
    </row>
    <row r="135" spans="1:13" x14ac:dyDescent="0.25">
      <c r="A135" s="8"/>
      <c r="B135" s="30">
        <v>114</v>
      </c>
      <c r="C135" s="30">
        <v>2.1037546944456151</v>
      </c>
      <c r="D135" s="30">
        <v>2.6259022098090954</v>
      </c>
      <c r="E135" s="30">
        <v>2.5478147956027753E-2</v>
      </c>
      <c r="F135" s="8"/>
      <c r="G135" s="8"/>
      <c r="H135" s="8"/>
      <c r="I135" s="5"/>
      <c r="J135" s="5"/>
      <c r="K135" s="5"/>
      <c r="L135" s="5"/>
      <c r="M135" s="5"/>
    </row>
    <row r="136" spans="1:13" x14ac:dyDescent="0.25">
      <c r="A136" s="8"/>
      <c r="B136" s="30">
        <v>115</v>
      </c>
      <c r="C136" s="30">
        <v>2.1018538676127099</v>
      </c>
      <c r="D136" s="30">
        <v>2.6327558285443731</v>
      </c>
      <c r="E136" s="30">
        <v>2.4553159966587114E-2</v>
      </c>
      <c r="F136" s="8"/>
      <c r="G136" s="8"/>
      <c r="H136" s="8"/>
      <c r="I136" s="5"/>
      <c r="J136" s="5"/>
      <c r="K136" s="5"/>
      <c r="L136" s="5"/>
      <c r="M136" s="5"/>
    </row>
    <row r="137" spans="1:13" x14ac:dyDescent="0.25">
      <c r="A137" s="8"/>
      <c r="B137" s="30">
        <v>116</v>
      </c>
      <c r="C137" s="30">
        <v>2.0999878646754171</v>
      </c>
      <c r="D137" s="30">
        <v>2.6394838862873109</v>
      </c>
      <c r="E137" s="30">
        <v>2.3661753805075368E-2</v>
      </c>
      <c r="F137" s="8"/>
      <c r="G137" s="8"/>
      <c r="H137" s="8"/>
      <c r="I137" s="5"/>
      <c r="J137" s="5"/>
      <c r="K137" s="5"/>
      <c r="L137" s="5"/>
      <c r="M137" s="5"/>
    </row>
    <row r="138" spans="1:13" x14ac:dyDescent="0.25">
      <c r="A138" s="8"/>
      <c r="B138" s="30">
        <v>117</v>
      </c>
      <c r="C138" s="30">
        <v>2.0981560476462651</v>
      </c>
      <c r="D138" s="30">
        <v>2.6460886833647002</v>
      </c>
      <c r="E138" s="30">
        <v>2.2802710278184486E-2</v>
      </c>
      <c r="F138" s="8"/>
      <c r="G138" s="8"/>
      <c r="H138" s="8"/>
      <c r="I138" s="5"/>
      <c r="J138" s="5"/>
      <c r="K138" s="5"/>
      <c r="L138" s="5"/>
      <c r="M138" s="5"/>
    </row>
    <row r="139" spans="1:13" x14ac:dyDescent="0.25">
      <c r="A139" s="8"/>
      <c r="B139" s="30">
        <v>118</v>
      </c>
      <c r="C139" s="30">
        <v>2.0963577902259631</v>
      </c>
      <c r="D139" s="30">
        <v>2.6525724779604412</v>
      </c>
      <c r="E139" s="30">
        <v>2.1974854455601947E-2</v>
      </c>
      <c r="F139" s="8"/>
      <c r="G139" s="8"/>
      <c r="H139" s="8"/>
      <c r="I139" s="5"/>
      <c r="J139" s="5"/>
      <c r="K139" s="5"/>
      <c r="L139" s="5"/>
      <c r="M139" s="5"/>
    </row>
    <row r="140" spans="1:13" x14ac:dyDescent="0.25">
      <c r="A140" s="8"/>
      <c r="B140" s="30">
        <v>119</v>
      </c>
      <c r="C140" s="30">
        <v>2.0945924775892717</v>
      </c>
      <c r="D140" s="30">
        <v>2.6589374868876154</v>
      </c>
      <c r="E140" s="30">
        <v>2.1177054063037503E-2</v>
      </c>
      <c r="F140" s="8"/>
      <c r="G140" s="8"/>
      <c r="H140" s="8"/>
      <c r="I140" s="5"/>
      <c r="J140" s="5"/>
      <c r="K140" s="5"/>
      <c r="L140" s="5"/>
      <c r="M140" s="5"/>
    </row>
    <row r="141" spans="1:13" x14ac:dyDescent="0.25">
      <c r="A141" s="8"/>
      <c r="B141" s="30">
        <v>120</v>
      </c>
      <c r="C141" s="30">
        <v>2.0928595061747881</v>
      </c>
      <c r="D141" s="30">
        <v>2.6651858863464173</v>
      </c>
      <c r="E141" s="30">
        <v>2.0408217933588341E-2</v>
      </c>
      <c r="F141" s="8"/>
      <c r="G141" s="8"/>
      <c r="H141" s="8"/>
      <c r="I141" s="5"/>
      <c r="J141" s="5"/>
      <c r="K141" s="5"/>
      <c r="L141" s="5"/>
      <c r="M141" s="5"/>
    </row>
    <row r="142" spans="1:13" x14ac:dyDescent="0.25">
      <c r="A142" s="8"/>
      <c r="B142" s="30">
        <v>121</v>
      </c>
      <c r="C142" s="30">
        <v>2.0911582834785958</v>
      </c>
      <c r="D142" s="30">
        <v>2.6713198126681967</v>
      </c>
      <c r="E142" s="30">
        <v>1.9667294515330593E-2</v>
      </c>
      <c r="F142" s="8"/>
      <c r="G142" s="8"/>
      <c r="H142" s="8"/>
      <c r="I142" s="5"/>
      <c r="J142" s="5"/>
      <c r="K142" s="5"/>
      <c r="L142" s="5"/>
      <c r="M142" s="5"/>
    </row>
    <row r="143" spans="1:13" x14ac:dyDescent="0.25">
      <c r="A143" s="8"/>
      <c r="B143" s="30">
        <v>122</v>
      </c>
      <c r="C143" s="30">
        <v>2.0894882278516813</v>
      </c>
      <c r="D143" s="30">
        <v>2.6773413630458727</v>
      </c>
      <c r="E143" s="30">
        <v>1.895327043309088E-2</v>
      </c>
      <c r="F143" s="8"/>
      <c r="G143" s="8"/>
      <c r="H143" s="8"/>
      <c r="I143" s="5"/>
      <c r="J143" s="5"/>
      <c r="K143" s="5"/>
      <c r="L143" s="5"/>
      <c r="M143" s="5"/>
    </row>
    <row r="144" spans="1:13" x14ac:dyDescent="0.25">
      <c r="A144" s="8"/>
      <c r="B144" s="30">
        <v>123</v>
      </c>
      <c r="C144" s="30">
        <v>2.08784876830107</v>
      </c>
      <c r="D144" s="30">
        <v>2.6832525962509646</v>
      </c>
      <c r="E144" s="30">
        <v>1.8265169102433448E-2</v>
      </c>
      <c r="F144" s="8"/>
      <c r="G144" s="8"/>
      <c r="H144" s="8"/>
      <c r="I144" s="5"/>
      <c r="J144" s="5"/>
      <c r="K144" s="5"/>
      <c r="L144" s="5"/>
      <c r="M144" s="5"/>
    </row>
    <row r="145" spans="1:13" x14ac:dyDescent="0.25">
      <c r="A145" s="8"/>
      <c r="B145" s="30">
        <v>124</v>
      </c>
      <c r="C145" s="30">
        <v>2.0862393442946034</v>
      </c>
      <c r="D145" s="30">
        <v>2.6890555333374873</v>
      </c>
      <c r="E145" s="30">
        <v>1.7602049393967586E-2</v>
      </c>
      <c r="F145" s="8"/>
      <c r="G145" s="8"/>
      <c r="H145" s="8"/>
      <c r="I145" s="5"/>
      <c r="J145" s="5"/>
      <c r="K145" s="5"/>
      <c r="L145" s="5"/>
      <c r="M145" s="5"/>
    </row>
    <row r="146" spans="1:13" x14ac:dyDescent="0.25">
      <c r="A146" s="8"/>
      <c r="B146" s="30">
        <v>125</v>
      </c>
      <c r="C146" s="30">
        <v>2.0846594055692935</v>
      </c>
      <c r="D146" s="30">
        <v>2.6947521583329506</v>
      </c>
      <c r="E146" s="30">
        <v>1.6963004346146188E-2</v>
      </c>
      <c r="F146" s="8"/>
      <c r="G146" s="8"/>
      <c r="H146" s="8"/>
      <c r="I146" s="5"/>
      <c r="J146" s="5"/>
      <c r="K146" s="5"/>
      <c r="L146" s="5"/>
      <c r="M146" s="5"/>
    </row>
    <row r="147" spans="1:13" x14ac:dyDescent="0.25">
      <c r="A147" s="8"/>
      <c r="B147" s="30">
        <v>126</v>
      </c>
      <c r="C147" s="30">
        <v>2.0831084119431851</v>
      </c>
      <c r="D147" s="30">
        <v>2.7003444189166999</v>
      </c>
      <c r="E147" s="30">
        <v>1.6347159924797468E-2</v>
      </c>
      <c r="F147" s="8"/>
      <c r="G147" s="8"/>
      <c r="H147" s="8"/>
      <c r="I147" s="5"/>
      <c r="J147" s="5"/>
      <c r="K147" s="5"/>
      <c r="L147" s="5"/>
      <c r="M147" s="5"/>
    </row>
    <row r="148" spans="1:13" x14ac:dyDescent="0.25">
      <c r="A148" s="8"/>
      <c r="B148" s="30">
        <v>127</v>
      </c>
      <c r="C148" s="30">
        <v>2.0815858331306716</v>
      </c>
      <c r="D148" s="30">
        <v>2.7058342270858282</v>
      </c>
      <c r="E148" s="30">
        <v>1.5753673827691873E-2</v>
      </c>
      <c r="F148" s="8"/>
      <c r="G148" s="8"/>
      <c r="H148" s="8"/>
      <c r="I148" s="5"/>
      <c r="J148" s="5"/>
      <c r="K148" s="5"/>
      <c r="L148" s="5"/>
      <c r="M148" s="5"/>
    </row>
    <row r="149" spans="1:13" x14ac:dyDescent="0.25">
      <c r="A149" s="8"/>
      <c r="B149" s="30">
        <v>128</v>
      </c>
      <c r="C149" s="30">
        <v>2.0800911485611846</v>
      </c>
      <c r="D149" s="30">
        <v>2.71122345980889</v>
      </c>
      <c r="E149" s="30">
        <v>1.5181734332508421E-2</v>
      </c>
      <c r="F149" s="8"/>
      <c r="G149" s="8"/>
      <c r="H149" s="8"/>
      <c r="I149" s="5"/>
      <c r="J149" s="5"/>
      <c r="K149" s="5"/>
      <c r="L149" s="5"/>
      <c r="M149" s="5"/>
    </row>
    <row r="150" spans="1:13" x14ac:dyDescent="0.25">
      <c r="A150" s="8"/>
      <c r="B150" s="30">
        <v>129</v>
      </c>
      <c r="C150" s="30">
        <v>2.0786238472012144</v>
      </c>
      <c r="D150" s="30">
        <v>2.7165139596676369</v>
      </c>
      <c r="E150" s="30">
        <v>1.463055918662709E-2</v>
      </c>
      <c r="F150" s="8"/>
      <c r="G150" s="8"/>
      <c r="H150" s="8"/>
      <c r="I150" s="5"/>
      <c r="J150" s="5"/>
      <c r="K150" s="5"/>
      <c r="L150" s="5"/>
      <c r="M150" s="5"/>
    </row>
    <row r="151" spans="1:13" x14ac:dyDescent="0.25">
      <c r="A151" s="8"/>
      <c r="B151" s="30">
        <v>130</v>
      </c>
      <c r="C151" s="30">
        <v>2.0771834273795875</v>
      </c>
      <c r="D151" s="30">
        <v>2.7217075354869968</v>
      </c>
      <c r="E151" s="30">
        <v>1.4099394537226844E-2</v>
      </c>
      <c r="F151" s="8"/>
      <c r="G151" s="8"/>
      <c r="H151" s="8"/>
      <c r="I151" s="5"/>
      <c r="J151" s="5"/>
      <c r="K151" s="5"/>
      <c r="L151" s="5"/>
      <c r="M151" s="5"/>
    </row>
    <row r="152" spans="1:13" x14ac:dyDescent="0.25">
      <c r="A152" s="8"/>
      <c r="B152" s="30">
        <v>131</v>
      </c>
      <c r="C152" s="30">
        <v>2.0757693966159421</v>
      </c>
      <c r="D152" s="30">
        <v>2.7268059629535144</v>
      </c>
      <c r="E152" s="30">
        <v>1.3587513900226666E-2</v>
      </c>
      <c r="F152" s="8"/>
      <c r="G152" s="8"/>
      <c r="H152" s="8"/>
      <c r="I152" s="5"/>
      <c r="J152" s="5"/>
      <c r="K152" s="5"/>
      <c r="L152" s="5"/>
      <c r="M152" s="5"/>
    </row>
    <row r="153" spans="1:13" x14ac:dyDescent="0.25">
      <c r="A153" s="8"/>
      <c r="B153" s="30">
        <v>132</v>
      </c>
      <c r="C153" s="30">
        <v>2.0743812714523515</v>
      </c>
      <c r="D153" s="30">
        <v>2.7318109852224577</v>
      </c>
      <c r="E153" s="30">
        <v>1.3094217166658725E-2</v>
      </c>
      <c r="F153" s="8"/>
      <c r="G153" s="8"/>
      <c r="H153" s="8"/>
      <c r="I153" s="5"/>
      <c r="J153" s="5"/>
      <c r="K153" s="5"/>
      <c r="L153" s="5"/>
      <c r="M153" s="5"/>
    </row>
    <row r="154" spans="1:13" x14ac:dyDescent="0.25">
      <c r="A154" s="8"/>
      <c r="B154" s="30">
        <v>133</v>
      </c>
      <c r="C154" s="30">
        <v>2.0730185772880274</v>
      </c>
      <c r="D154" s="30">
        <v>2.7367243135138035</v>
      </c>
      <c r="E154" s="30">
        <v>1.2618829645117189E-2</v>
      </c>
      <c r="F154" s="8"/>
      <c r="G154" s="8"/>
      <c r="H154" s="8"/>
      <c r="I154" s="5"/>
      <c r="J154" s="5"/>
      <c r="K154" s="5"/>
      <c r="L154" s="5"/>
      <c r="M154" s="5"/>
    </row>
    <row r="155" spans="1:13" x14ac:dyDescent="0.25">
      <c r="A155" s="8"/>
      <c r="B155" s="30">
        <v>134</v>
      </c>
      <c r="C155" s="30">
        <v>2.0716808482170559</v>
      </c>
      <c r="D155" s="30">
        <v>2.7415476276973063</v>
      </c>
      <c r="E155" s="30">
        <v>1.2160701138968394E-2</v>
      </c>
      <c r="F155" s="8"/>
      <c r="G155" s="8"/>
      <c r="H155" s="8"/>
      <c r="I155" s="5"/>
      <c r="J155" s="5"/>
      <c r="K155" s="5"/>
      <c r="L155" s="5"/>
      <c r="M155" s="5"/>
    </row>
    <row r="156" spans="1:13" x14ac:dyDescent="0.25">
      <c r="A156" s="8"/>
      <c r="B156" s="30">
        <v>135</v>
      </c>
      <c r="C156" s="30">
        <v>2.0703676268691025</v>
      </c>
      <c r="D156" s="30">
        <v>2.7462825768668448</v>
      </c>
      <c r="E156" s="30">
        <v>1.1719205057065769E-2</v>
      </c>
      <c r="F156" s="8"/>
      <c r="G156" s="8"/>
      <c r="H156" s="8"/>
      <c r="I156" s="5"/>
      <c r="J156" s="5"/>
      <c r="K156" s="5"/>
      <c r="L156" s="5"/>
      <c r="M156" s="5"/>
    </row>
    <row r="157" spans="1:13" x14ac:dyDescent="0.25">
      <c r="A157" s="8"/>
      <c r="B157" s="30">
        <v>136</v>
      </c>
      <c r="C157" s="30">
        <v>2.0690784642530362</v>
      </c>
      <c r="D157" s="30">
        <v>2.7509307799042495</v>
      </c>
      <c r="E157" s="30">
        <v>1.1293737556747976E-2</v>
      </c>
      <c r="F157" s="8"/>
      <c r="G157" s="8"/>
      <c r="H157" s="8"/>
      <c r="I157" s="5"/>
      <c r="J157" s="5"/>
      <c r="K157" s="5"/>
      <c r="L157" s="5"/>
      <c r="M157" s="5"/>
    </row>
    <row r="158" spans="1:13" x14ac:dyDescent="0.25">
      <c r="A158" s="8"/>
      <c r="B158" s="30">
        <v>137</v>
      </c>
      <c r="C158" s="30">
        <v>2.0678129196034214</v>
      </c>
      <c r="D158" s="30">
        <v>2.7554938260327981</v>
      </c>
      <c r="E158" s="30">
        <v>1.0883716717952397E-2</v>
      </c>
      <c r="F158" s="8"/>
      <c r="G158" s="8"/>
      <c r="H158" s="8"/>
      <c r="I158" s="5"/>
      <c r="J158" s="5"/>
      <c r="K158" s="5"/>
      <c r="L158" s="5"/>
      <c r="M158" s="5"/>
    </row>
    <row r="159" spans="1:13" x14ac:dyDescent="0.25">
      <c r="A159" s="8"/>
      <c r="B159" s="30">
        <v>138</v>
      </c>
      <c r="C159" s="30">
        <v>2.0665705602298186</v>
      </c>
      <c r="D159" s="30">
        <v>2.7599732753605726</v>
      </c>
      <c r="E159" s="30">
        <v>1.048858174731199E-2</v>
      </c>
      <c r="F159" s="8"/>
      <c r="G159" s="8"/>
      <c r="H159" s="8"/>
      <c r="I159" s="5"/>
      <c r="J159" s="5"/>
      <c r="K159" s="5"/>
      <c r="L159" s="5"/>
      <c r="M159" s="5"/>
    </row>
    <row r="160" spans="1:13" x14ac:dyDescent="0.25">
      <c r="A160" s="8"/>
      <c r="B160" s="30">
        <v>139</v>
      </c>
      <c r="C160" s="30">
        <v>2.0653509613688463</v>
      </c>
      <c r="D160" s="30">
        <v>2.7643706594138613</v>
      </c>
      <c r="E160" s="30">
        <v>1.0107792211146507E-2</v>
      </c>
      <c r="F160" s="8"/>
      <c r="G160" s="8"/>
      <c r="H160" s="8"/>
      <c r="I160" s="5"/>
      <c r="J160" s="5"/>
      <c r="K160" s="5"/>
      <c r="L160" s="5"/>
      <c r="M160" s="5"/>
    </row>
    <row r="161" spans="1:13" x14ac:dyDescent="0.25">
      <c r="A161" s="8"/>
      <c r="B161" s="30">
        <v>140</v>
      </c>
      <c r="C161" s="30">
        <v>2.0641537060389568</v>
      </c>
      <c r="D161" s="30">
        <v>2.768687481660788</v>
      </c>
      <c r="E161" s="30">
        <v>9.7408272963022714E-3</v>
      </c>
      <c r="F161" s="8"/>
      <c r="G161" s="8"/>
      <c r="H161" s="8"/>
      <c r="I161" s="5"/>
      <c r="J161" s="5"/>
      <c r="K161" s="5"/>
      <c r="L161" s="5"/>
      <c r="M161" s="5"/>
    </row>
    <row r="162" spans="1:13" x14ac:dyDescent="0.25">
      <c r="A162" s="8"/>
      <c r="B162" s="30">
        <v>141</v>
      </c>
      <c r="C162" s="30">
        <v>2.062978384897868</v>
      </c>
      <c r="D162" s="30">
        <v>2.7729252180253487</v>
      </c>
      <c r="E162" s="30">
        <v>9.3871850978251396E-3</v>
      </c>
      <c r="F162" s="8"/>
      <c r="G162" s="8"/>
      <c r="H162" s="8"/>
      <c r="I162" s="5"/>
      <c r="J162" s="5"/>
      <c r="K162" s="5"/>
      <c r="L162" s="5"/>
      <c r="M162" s="5"/>
    </row>
    <row r="163" spans="1:13" x14ac:dyDescent="0.25">
      <c r="A163" s="8"/>
      <c r="B163" s="30">
        <v>142</v>
      </c>
      <c r="C163" s="30">
        <v>2.0618245961026087</v>
      </c>
      <c r="D163" s="30">
        <v>2.7770853173920313</v>
      </c>
      <c r="E163" s="30">
        <v>9.0463819324958367E-3</v>
      </c>
      <c r="F163" s="8"/>
      <c r="G163" s="8"/>
      <c r="H163" s="8"/>
      <c r="I163" s="5"/>
      <c r="J163" s="5"/>
      <c r="K163" s="5"/>
      <c r="L163" s="5"/>
      <c r="M163" s="5"/>
    </row>
    <row r="164" spans="1:13" x14ac:dyDescent="0.25">
      <c r="A164" s="8"/>
      <c r="B164" s="30">
        <v>143</v>
      </c>
      <c r="C164" s="30">
        <v>2.0606919451721297</v>
      </c>
      <c r="D164" s="30">
        <v>2.7811692021011893</v>
      </c>
      <c r="E164" s="30">
        <v>8.7179516772868254E-3</v>
      </c>
      <c r="F164" s="8"/>
      <c r="G164" s="8"/>
      <c r="H164" s="8"/>
      <c r="I164" s="5"/>
      <c r="J164" s="5"/>
      <c r="K164" s="5"/>
      <c r="L164" s="5"/>
      <c r="M164" s="5"/>
    </row>
    <row r="165" spans="1:13" x14ac:dyDescent="0.25">
      <c r="A165" s="8"/>
      <c r="B165" s="30">
        <v>144</v>
      </c>
      <c r="C165" s="30">
        <v>2.0595800448524302</v>
      </c>
      <c r="D165" s="30">
        <v>2.7851782684353412</v>
      </c>
      <c r="E165" s="30">
        <v>8.4014451318373158E-3</v>
      </c>
      <c r="F165" s="8"/>
      <c r="G165" s="8"/>
      <c r="H165" s="8"/>
      <c r="I165" s="5"/>
      <c r="J165" s="5"/>
      <c r="K165" s="5"/>
      <c r="L165" s="5"/>
      <c r="M165" s="5"/>
    </row>
    <row r="166" spans="1:13" x14ac:dyDescent="0.25">
      <c r="A166" s="8"/>
      <c r="B166" s="30">
        <v>145</v>
      </c>
      <c r="C166" s="30">
        <v>2.0584885149841545</v>
      </c>
      <c r="D166" s="30">
        <v>2.7891138870965606</v>
      </c>
      <c r="E166" s="30">
        <v>8.0964294040730255E-3</v>
      </c>
      <c r="F166" s="8"/>
      <c r="G166" s="8"/>
      <c r="H166" s="8"/>
      <c r="I166" s="5"/>
      <c r="J166" s="5"/>
      <c r="K166" s="5"/>
      <c r="L166" s="5"/>
      <c r="M166" s="5"/>
    </row>
    <row r="167" spans="1:13" x14ac:dyDescent="0.25">
      <c r="A167" s="8"/>
      <c r="B167" s="30">
        <v>146</v>
      </c>
      <c r="C167" s="30">
        <v>2.0574169823726165</v>
      </c>
      <c r="D167" s="30">
        <v>2.7929774036751196</v>
      </c>
      <c r="E167" s="30">
        <v>7.8024873181315761E-3</v>
      </c>
      <c r="F167" s="8"/>
      <c r="G167" s="8"/>
      <c r="H167" s="8"/>
      <c r="I167" s="5"/>
      <c r="J167" s="5"/>
      <c r="K167" s="5"/>
      <c r="L167" s="5"/>
      <c r="M167" s="5"/>
    </row>
    <row r="168" spans="1:13" x14ac:dyDescent="0.25">
      <c r="A168" s="8"/>
      <c r="B168" s="30">
        <v>147</v>
      </c>
      <c r="C168" s="30">
        <v>2.0563650806602025</v>
      </c>
      <c r="D168" s="30">
        <v>2.796770139109547</v>
      </c>
      <c r="E168" s="30">
        <v>7.5192168437827143E-3</v>
      </c>
      <c r="F168" s="8"/>
      <c r="G168" s="8"/>
      <c r="H168" s="8"/>
      <c r="I168" s="5"/>
      <c r="J168" s="5"/>
      <c r="K168" s="5"/>
      <c r="L168" s="5"/>
      <c r="M168" s="5"/>
    </row>
    <row r="169" spans="1:13" x14ac:dyDescent="0.25">
      <c r="A169" s="8"/>
      <c r="B169" s="30">
        <v>148</v>
      </c>
      <c r="C169" s="30">
        <v>2.0553324502011154</v>
      </c>
      <c r="D169" s="30">
        <v>2.8004933901382576</v>
      </c>
      <c r="E169" s="30">
        <v>7.2462305465642741E-3</v>
      </c>
      <c r="F169" s="8"/>
      <c r="G169" s="8"/>
      <c r="H169" s="8"/>
      <c r="I169" s="5"/>
      <c r="J169" s="5"/>
      <c r="K169" s="5"/>
      <c r="L169" s="5"/>
      <c r="M169" s="5"/>
    </row>
    <row r="170" spans="1:13" x14ac:dyDescent="0.25">
      <c r="A170" s="8"/>
      <c r="B170" s="30">
        <v>149</v>
      </c>
      <c r="C170" s="30">
        <v>2.0543187379384111</v>
      </c>
      <c r="D170" s="30">
        <v>2.8041484297429085</v>
      </c>
      <c r="E170" s="30">
        <v>6.9831550578804595E-3</v>
      </c>
      <c r="F170" s="8"/>
      <c r="G170" s="8"/>
      <c r="H170" s="8"/>
      <c r="I170" s="5"/>
      <c r="J170" s="5"/>
      <c r="K170" s="5"/>
      <c r="L170" s="5"/>
      <c r="M170" s="5"/>
    </row>
    <row r="171" spans="1:13" x14ac:dyDescent="0.25">
      <c r="A171" s="8"/>
      <c r="B171" s="30">
        <v>150</v>
      </c>
      <c r="C171" s="30">
        <v>2.0533235972832866</v>
      </c>
      <c r="D171" s="30">
        <v>2.8077365075836318</v>
      </c>
      <c r="E171" s="30">
        <v>6.7296305643384045E-3</v>
      </c>
      <c r="F171" s="8"/>
      <c r="G171" s="8"/>
      <c r="H171" s="8"/>
      <c r="I171" s="5"/>
      <c r="J171" s="5"/>
      <c r="K171" s="5"/>
      <c r="L171" s="5"/>
      <c r="M171" s="5"/>
    </row>
    <row r="172" spans="1:13" x14ac:dyDescent="0.25">
      <c r="A172" s="8"/>
      <c r="B172" s="30">
        <v>151</v>
      </c>
      <c r="C172" s="30">
        <v>2.0523466879965815</v>
      </c>
      <c r="D172" s="30">
        <v>2.8112588504262943</v>
      </c>
      <c r="E172" s="30">
        <v>6.48531031562459E-3</v>
      </c>
      <c r="F172" s="8"/>
      <c r="G172" s="8"/>
      <c r="H172" s="8"/>
      <c r="I172" s="5"/>
      <c r="J172" s="5"/>
      <c r="K172" s="5"/>
      <c r="L172" s="5"/>
      <c r="M172" s="5"/>
    </row>
    <row r="173" spans="1:13" x14ac:dyDescent="0.25">
      <c r="A173" s="8"/>
      <c r="B173" s="30">
        <v>152</v>
      </c>
      <c r="C173" s="30">
        <v>2.0513876760724532</v>
      </c>
      <c r="D173" s="30">
        <v>2.8147166625619291</v>
      </c>
      <c r="E173" s="30">
        <v>6.2498601502474199E-3</v>
      </c>
      <c r="F173" s="8"/>
      <c r="G173" s="8"/>
      <c r="H173" s="8"/>
      <c r="I173" s="5"/>
      <c r="J173" s="5"/>
      <c r="K173" s="5"/>
      <c r="L173" s="5"/>
      <c r="M173" s="5"/>
    </row>
    <row r="174" spans="1:13" x14ac:dyDescent="0.25">
      <c r="A174" s="8"/>
      <c r="B174" s="30">
        <v>153</v>
      </c>
      <c r="C174" s="30">
        <v>2.050446233624176</v>
      </c>
      <c r="D174" s="30">
        <v>2.8181111262184833</v>
      </c>
      <c r="E174" s="30">
        <v>6.0229580384989455E-3</v>
      </c>
      <c r="F174" s="8"/>
      <c r="G174" s="8"/>
      <c r="H174" s="8"/>
      <c r="I174" s="5"/>
      <c r="J174" s="5"/>
      <c r="K174" s="5"/>
      <c r="L174" s="5"/>
      <c r="M174" s="5"/>
    </row>
    <row r="175" spans="1:13" x14ac:dyDescent="0.25">
      <c r="A175" s="8"/>
      <c r="B175" s="30">
        <v>154</v>
      </c>
      <c r="C175" s="30">
        <v>2.0495220387720376</v>
      </c>
      <c r="D175" s="30">
        <v>2.8214434019650239</v>
      </c>
      <c r="E175" s="30">
        <v>5.8042936420078942E-3</v>
      </c>
      <c r="F175" s="8"/>
      <c r="G175" s="8"/>
      <c r="H175" s="8"/>
      <c r="I175" s="5"/>
      <c r="J175" s="5"/>
      <c r="K175" s="5"/>
      <c r="L175" s="5"/>
      <c r="M175" s="5"/>
    </row>
    <row r="176" spans="1:13" x14ac:dyDescent="0.25">
      <c r="A176" s="8"/>
      <c r="B176" s="30">
        <v>155</v>
      </c>
      <c r="C176" s="30">
        <v>2.0486147755332893</v>
      </c>
      <c r="D176" s="30">
        <v>2.8247146291085348</v>
      </c>
      <c r="E176" s="30">
        <v>5.5935678892839969E-3</v>
      </c>
      <c r="F176" s="8"/>
      <c r="G176" s="8"/>
      <c r="H176" s="8"/>
      <c r="I176" s="5"/>
      <c r="J176" s="5"/>
      <c r="K176" s="5"/>
      <c r="L176" s="5"/>
      <c r="M176" s="5"/>
    </row>
    <row r="177" spans="1:13" x14ac:dyDescent="0.25">
      <c r="A177" s="8"/>
      <c r="B177" s="30">
        <v>156</v>
      </c>
      <c r="C177" s="30">
        <v>2.0477241337141106</v>
      </c>
      <c r="D177" s="30">
        <v>2.8279259260834482</v>
      </c>
      <c r="E177" s="30">
        <v>5.3904925666726795E-3</v>
      </c>
      <c r="F177" s="8"/>
      <c r="G177" s="8"/>
      <c r="H177" s="8"/>
      <c r="I177" s="5"/>
      <c r="J177" s="5"/>
      <c r="K177" s="5"/>
      <c r="L177" s="5"/>
      <c r="M177" s="5"/>
    </row>
    <row r="178" spans="1:13" x14ac:dyDescent="0.25">
      <c r="A178" s="8"/>
      <c r="B178" s="30">
        <v>157</v>
      </c>
      <c r="C178" s="30">
        <v>2.0468498088035543</v>
      </c>
      <c r="D178" s="30">
        <v>2.8310783908340369</v>
      </c>
      <c r="E178" s="30">
        <v>5.1947899241593463E-3</v>
      </c>
      <c r="F178" s="8"/>
      <c r="G178" s="8"/>
      <c r="H178" s="8"/>
      <c r="I178" s="5"/>
      <c r="J178" s="5"/>
      <c r="K178" s="5"/>
      <c r="L178" s="5"/>
      <c r="M178" s="5"/>
    </row>
    <row r="179" spans="1:13" x14ac:dyDescent="0.25">
      <c r="A179" s="8"/>
      <c r="B179" s="30">
        <v>158</v>
      </c>
      <c r="C179" s="30">
        <v>2.0459915018694335</v>
      </c>
      <c r="D179" s="30">
        <v>2.834173101189803</v>
      </c>
      <c r="E179" s="30">
        <v>5.006192295485253E-3</v>
      </c>
      <c r="F179" s="8"/>
      <c r="G179" s="8"/>
      <c r="H179" s="8"/>
      <c r="I179" s="5"/>
      <c r="J179" s="5"/>
      <c r="K179" s="5"/>
      <c r="L179" s="5"/>
      <c r="M179" s="5"/>
    </row>
    <row r="180" spans="1:13" x14ac:dyDescent="0.25">
      <c r="A180" s="8"/>
      <c r="B180" s="30">
        <v>159</v>
      </c>
      <c r="C180" s="30">
        <v>2.0451489194561159</v>
      </c>
      <c r="D180" s="30">
        <v>2.8372111152339881</v>
      </c>
      <c r="E180" s="30">
        <v>4.8244417320555547E-3</v>
      </c>
      <c r="F180" s="8"/>
      <c r="G180" s="8"/>
      <c r="H180" s="8"/>
      <c r="I180" s="5"/>
      <c r="J180" s="5"/>
      <c r="K180" s="5"/>
      <c r="L180" s="5"/>
      <c r="M180" s="5"/>
    </row>
    <row r="181" spans="1:13" x14ac:dyDescent="0.25">
      <c r="A181" s="8"/>
      <c r="B181" s="30">
        <v>160</v>
      </c>
      <c r="C181" s="30">
        <v>2.0443217734841923</v>
      </c>
      <c r="D181" s="30">
        <v>2.8401934716653314</v>
      </c>
      <c r="E181" s="30">
        <v>4.6492896501377397E-3</v>
      </c>
      <c r="F181" s="8"/>
      <c r="G181" s="8"/>
      <c r="H181" s="8"/>
      <c r="I181" s="5"/>
      <c r="J181" s="5"/>
      <c r="K181" s="5"/>
      <c r="L181" s="5"/>
      <c r="M181" s="5"/>
    </row>
    <row r="182" spans="1:13" x14ac:dyDescent="0.25">
      <c r="A182" s="8"/>
      <c r="B182" s="30">
        <v>161</v>
      </c>
      <c r="C182" s="30">
        <v>2.0435097811519811</v>
      </c>
      <c r="D182" s="30">
        <v>2.8431211901532039</v>
      </c>
      <c r="E182" s="30">
        <v>4.4804964908692268E-3</v>
      </c>
      <c r="F182" s="8"/>
      <c r="G182" s="8"/>
      <c r="H182" s="8"/>
      <c r="I182" s="5"/>
      <c r="J182" s="5"/>
      <c r="K182" s="5"/>
      <c r="L182" s="5"/>
      <c r="M182" s="5"/>
    </row>
    <row r="183" spans="1:13" x14ac:dyDescent="0.25">
      <c r="A183" s="8"/>
      <c r="B183" s="30">
        <v>162</v>
      </c>
      <c r="C183" s="30">
        <v>2.0427126648388407</v>
      </c>
      <c r="D183" s="30">
        <v>2.8459952716862311</v>
      </c>
      <c r="E183" s="30">
        <v>4.3178313926079369E-3</v>
      </c>
      <c r="F183" s="8"/>
      <c r="G183" s="8"/>
      <c r="H183" s="8"/>
      <c r="I183" s="5"/>
      <c r="J183" s="5"/>
      <c r="K183" s="5"/>
      <c r="L183" s="5"/>
      <c r="M183" s="5"/>
    </row>
    <row r="184" spans="1:13" x14ac:dyDescent="0.25">
      <c r="A184" s="8"/>
      <c r="B184" s="30">
        <v>163</v>
      </c>
      <c r="C184" s="30">
        <v>2.0419301520102464</v>
      </c>
      <c r="D184" s="30">
        <v>2.848816698914534</v>
      </c>
      <c r="E184" s="30">
        <v>4.161071875178138E-3</v>
      </c>
      <c r="F184" s="8"/>
      <c r="G184" s="8"/>
      <c r="H184" s="8"/>
      <c r="I184" s="5"/>
      <c r="J184" s="5"/>
      <c r="K184" s="5"/>
      <c r="L184" s="5"/>
      <c r="M184" s="5"/>
    </row>
    <row r="185" spans="1:13" x14ac:dyDescent="0.25">
      <c r="A185" s="8"/>
      <c r="B185" s="30">
        <v>164</v>
      </c>
      <c r="C185" s="30">
        <v>2.0411619751246151</v>
      </c>
      <c r="D185" s="30">
        <v>2.8515864364856962</v>
      </c>
      <c r="E185" s="30">
        <v>4.0100035355805103E-3</v>
      </c>
      <c r="F185" s="8"/>
      <c r="G185" s="8"/>
      <c r="H185" s="8"/>
      <c r="I185" s="5"/>
      <c r="J185" s="5"/>
      <c r="K185" s="5"/>
      <c r="L185" s="5"/>
      <c r="M185" s="5"/>
    </row>
    <row r="186" spans="1:13" x14ac:dyDescent="0.25">
      <c r="A186" s="8"/>
      <c r="B186" s="30">
        <v>165</v>
      </c>
      <c r="C186" s="30">
        <v>2.0404078715418295</v>
      </c>
      <c r="D186" s="30">
        <v>2.8543054313745779</v>
      </c>
      <c r="E186" s="30">
        <v>3.8644197547488138E-3</v>
      </c>
      <c r="F186" s="8"/>
      <c r="G186" s="8"/>
      <c r="H186" s="8"/>
      <c r="I186" s="5"/>
      <c r="J186" s="5"/>
      <c r="K186" s="5"/>
      <c r="L186" s="5"/>
      <c r="M186" s="5"/>
    </row>
    <row r="187" spans="1:13" x14ac:dyDescent="0.25">
      <c r="A187" s="8"/>
      <c r="B187" s="30">
        <v>166</v>
      </c>
      <c r="C187" s="30">
        <v>2.0396675834334439</v>
      </c>
      <c r="D187" s="30">
        <v>2.856974613207087</v>
      </c>
      <c r="E187" s="30">
        <v>3.7241214149531256E-3</v>
      </c>
      <c r="F187" s="8"/>
      <c r="G187" s="8"/>
      <c r="H187" s="8"/>
      <c r="I187" s="5"/>
      <c r="J187" s="5"/>
      <c r="K187" s="5"/>
      <c r="L187" s="5"/>
      <c r="M187" s="5"/>
    </row>
    <row r="188" spans="1:13" x14ac:dyDescent="0.25">
      <c r="A188" s="8"/>
      <c r="B188" s="30">
        <v>167</v>
      </c>
      <c r="C188" s="30">
        <v>2.0389408576945294</v>
      </c>
      <c r="D188" s="30">
        <v>2.8595948945780196</v>
      </c>
      <c r="E188" s="30">
        <v>3.588916627462497E-3</v>
      </c>
      <c r="F188" s="8"/>
      <c r="G188" s="8"/>
      <c r="H188" s="8"/>
      <c r="I188" s="5"/>
      <c r="J188" s="5"/>
      <c r="K188" s="5"/>
      <c r="L188" s="5"/>
      <c r="M188" s="5"/>
    </row>
    <row r="189" spans="1:13" x14ac:dyDescent="0.25">
      <c r="A189" s="8"/>
      <c r="B189" s="30">
        <v>168</v>
      </c>
      <c r="C189" s="30">
        <v>2.038227445857141</v>
      </c>
      <c r="D189" s="30">
        <v>2.8621671713630752</v>
      </c>
      <c r="E189" s="30">
        <v>3.4586204700951459E-3</v>
      </c>
      <c r="F189" s="8"/>
      <c r="G189" s="8"/>
      <c r="H189" s="8"/>
      <c r="I189" s="5"/>
      <c r="J189" s="5"/>
      <c r="K189" s="5"/>
      <c r="L189" s="5"/>
      <c r="M189" s="5"/>
    </row>
    <row r="190" spans="1:13" x14ac:dyDescent="0.25">
      <c r="A190" s="8"/>
      <c r="B190" s="30">
        <v>169</v>
      </c>
      <c r="C190" s="30">
        <v>2.0375271040053633</v>
      </c>
      <c r="D190" s="30">
        <v>2.8646923230251584</v>
      </c>
      <c r="E190" s="30">
        <v>3.3330547342970847E-3</v>
      </c>
      <c r="F190" s="8"/>
      <c r="G190" s="8"/>
      <c r="H190" s="8"/>
      <c r="I190" s="5"/>
      <c r="J190" s="5"/>
      <c r="K190" s="5"/>
      <c r="L190" s="5"/>
      <c r="M190" s="5"/>
    </row>
    <row r="191" spans="1:13" x14ac:dyDescent="0.25">
      <c r="A191" s="8"/>
      <c r="B191" s="30">
        <v>170</v>
      </c>
      <c r="C191" s="30">
        <v>2.0368395926919161</v>
      </c>
      <c r="D191" s="30">
        <v>2.8671712129150677</v>
      </c>
      <c r="E191" s="30">
        <v>3.2120476814024301E-3</v>
      </c>
      <c r="F191" s="8"/>
      <c r="G191" s="8"/>
      <c r="H191" s="8"/>
      <c r="I191" s="5"/>
      <c r="J191" s="5"/>
      <c r="K191" s="5"/>
      <c r="L191" s="5"/>
      <c r="M191" s="5"/>
    </row>
    <row r="192" spans="1:13" x14ac:dyDescent="0.25">
      <c r="A192" s="8"/>
      <c r="B192" s="30">
        <v>171</v>
      </c>
      <c r="C192" s="30">
        <v>2.0361646768562882</v>
      </c>
      <c r="D192" s="30">
        <v>2.8696046885666746</v>
      </c>
      <c r="E192" s="30">
        <v>3.0954338077434952E-3</v>
      </c>
      <c r="F192" s="8"/>
      <c r="G192" s="8"/>
      <c r="H192" s="8"/>
      <c r="I192" s="5"/>
      <c r="J192" s="5"/>
      <c r="K192" s="5"/>
      <c r="L192" s="5"/>
      <c r="M192" s="5"/>
    </row>
    <row r="193" spans="1:13" x14ac:dyDescent="0.25">
      <c r="A193" s="8"/>
      <c r="B193" s="30">
        <v>172</v>
      </c>
      <c r="C193" s="30">
        <v>2.0355021257443688</v>
      </c>
      <c r="D193" s="30">
        <v>2.8719935819866964</v>
      </c>
      <c r="E193" s="30">
        <v>2.9830536182880716E-3</v>
      </c>
      <c r="F193" s="8"/>
      <c r="G193" s="8"/>
      <c r="H193" s="8"/>
      <c r="I193" s="5"/>
      <c r="J193" s="5"/>
      <c r="K193" s="5"/>
      <c r="L193" s="5"/>
      <c r="M193" s="5"/>
    </row>
    <row r="194" spans="1:13" x14ac:dyDescent="0.25">
      <c r="A194" s="8"/>
      <c r="B194" s="30">
        <v>173</v>
      </c>
      <c r="C194" s="30">
        <v>2.0348517128295542</v>
      </c>
      <c r="D194" s="30">
        <v>2.8743387099391606</v>
      </c>
      <c r="E194" s="30">
        <v>2.874753408495087E-3</v>
      </c>
      <c r="F194" s="8"/>
      <c r="G194" s="8"/>
      <c r="H194" s="8"/>
      <c r="I194" s="5"/>
      <c r="J194" s="5"/>
      <c r="K194" s="5"/>
      <c r="L194" s="5"/>
      <c r="M194" s="5"/>
    </row>
    <row r="195" spans="1:13" x14ac:dyDescent="0.25">
      <c r="A195" s="8"/>
      <c r="B195" s="30">
        <v>174</v>
      </c>
      <c r="C195" s="30">
        <v>2.0342132157352966</v>
      </c>
      <c r="D195" s="30">
        <v>2.8766408742246559</v>
      </c>
      <c r="E195" s="30">
        <v>2.7703850540899333E-3</v>
      </c>
      <c r="F195" s="8"/>
      <c r="G195" s="8"/>
      <c r="H195" s="8"/>
      <c r="I195" s="5"/>
      <c r="J195" s="5"/>
      <c r="K195" s="5"/>
      <c r="L195" s="5"/>
      <c r="M195" s="5"/>
    </row>
    <row r="196" spans="1:13" x14ac:dyDescent="0.25">
      <c r="A196" s="8"/>
      <c r="B196" s="30">
        <v>175</v>
      </c>
      <c r="C196" s="30">
        <v>2.0335864161590735</v>
      </c>
      <c r="D196" s="30">
        <v>2.878900861954468</v>
      </c>
      <c r="E196" s="30">
        <v>2.6698058084720575E-3</v>
      </c>
      <c r="F196" s="8"/>
      <c r="G196" s="8"/>
      <c r="H196" s="8"/>
      <c r="I196" s="5"/>
      <c r="J196" s="5"/>
      <c r="K196" s="5"/>
      <c r="L196" s="5"/>
      <c r="M196" s="5"/>
    </row>
    <row r="197" spans="1:13" x14ac:dyDescent="0.25">
      <c r="A197" s="8"/>
      <c r="B197" s="30">
        <v>176</v>
      </c>
      <c r="C197" s="30">
        <v>2.0329710997977521</v>
      </c>
      <c r="D197" s="30">
        <v>2.8811194458196954</v>
      </c>
      <c r="E197" s="30">
        <v>2.572878107477544E-3</v>
      </c>
      <c r="F197" s="8"/>
      <c r="G197" s="8"/>
      <c r="H197" s="8"/>
      <c r="I197" s="5"/>
      <c r="J197" s="5"/>
      <c r="K197" s="5"/>
      <c r="L197" s="5"/>
      <c r="M197" s="5"/>
    </row>
    <row r="198" spans="1:13" x14ac:dyDescent="0.25">
      <c r="A198" s="8"/>
      <c r="B198" s="30">
        <v>177</v>
      </c>
      <c r="C198" s="30">
        <v>2.0323670562743161</v>
      </c>
      <c r="D198" s="30">
        <v>2.8832973843554308</v>
      </c>
      <c r="E198" s="30">
        <v>2.4794693812302915E-3</v>
      </c>
      <c r="F198" s="8"/>
      <c r="G198" s="8"/>
      <c r="H198" s="8"/>
      <c r="I198" s="5"/>
      <c r="J198" s="5"/>
      <c r="K198" s="5"/>
      <c r="L198" s="5"/>
      <c r="M198" s="5"/>
    </row>
    <row r="199" spans="1:13" x14ac:dyDescent="0.25">
      <c r="A199" s="8"/>
      <c r="B199" s="30">
        <v>178</v>
      </c>
      <c r="C199" s="30">
        <v>2.0317740790659391</v>
      </c>
      <c r="D199" s="30">
        <v>2.8854354222001062</v>
      </c>
      <c r="E199" s="30">
        <v>2.3894518728234571E-3</v>
      </c>
      <c r="F199" s="8"/>
      <c r="G199" s="8"/>
      <c r="H199" s="8"/>
      <c r="I199" s="5"/>
      <c r="J199" s="5"/>
      <c r="K199" s="5"/>
      <c r="L199" s="5"/>
      <c r="M199" s="5"/>
    </row>
    <row r="200" spans="1:13" x14ac:dyDescent="0.25">
      <c r="A200" s="8"/>
      <c r="B200" s="30">
        <v>179</v>
      </c>
      <c r="C200" s="30">
        <v>2.0311919654333739</v>
      </c>
      <c r="D200" s="30">
        <v>2.8875342903500836</v>
      </c>
      <c r="E200" s="30">
        <v>2.30270246358365E-3</v>
      </c>
      <c r="F200" s="8"/>
      <c r="G200" s="8"/>
      <c r="H200" s="8"/>
      <c r="I200" s="5"/>
      <c r="J200" s="5"/>
      <c r="K200" s="5"/>
      <c r="L200" s="5"/>
      <c r="M200" s="5"/>
    </row>
    <row r="201" spans="1:13" x14ac:dyDescent="0.25">
      <c r="A201" s="8"/>
      <c r="B201" s="30">
        <v>180</v>
      </c>
      <c r="C201" s="30">
        <v>2.0306205163516373</v>
      </c>
      <c r="D201" s="30">
        <v>2.8895947064095839</v>
      </c>
      <c r="E201" s="30">
        <v>2.2191025046798115E-3</v>
      </c>
      <c r="F201" s="8"/>
      <c r="G201" s="8"/>
      <c r="H201" s="8"/>
      <c r="I201" s="5"/>
      <c r="J201" s="5"/>
      <c r="K201" s="5"/>
      <c r="L201" s="5"/>
      <c r="M201" s="5"/>
    </row>
    <row r="202" spans="1:13" x14ac:dyDescent="0.25">
      <c r="A202" s="8"/>
      <c r="B202" s="30">
        <v>181</v>
      </c>
      <c r="C202" s="30">
        <v>2.0300595364419611</v>
      </c>
      <c r="D202" s="30">
        <v>2.8916173748360374</v>
      </c>
      <c r="E202" s="30">
        <v>2.1385376548442208E-3</v>
      </c>
      <c r="F202" s="8"/>
      <c r="G202" s="8"/>
      <c r="H202" s="8"/>
      <c r="I202" s="5"/>
      <c r="J202" s="5"/>
      <c r="K202" s="5"/>
      <c r="L202" s="5"/>
      <c r="M202" s="5"/>
    </row>
    <row r="203" spans="1:13" x14ac:dyDescent="0.25">
      <c r="A203" s="8"/>
      <c r="B203" s="30">
        <v>182</v>
      </c>
      <c r="C203" s="30">
        <v>2.0295088339049925</v>
      </c>
      <c r="D203" s="30">
        <v>2.8936029871809361</v>
      </c>
      <c r="E203" s="30">
        <v>2.06089772398614E-3</v>
      </c>
      <c r="F203" s="8"/>
      <c r="G203" s="8"/>
      <c r="H203" s="8"/>
      <c r="I203" s="5"/>
      <c r="J203" s="5"/>
      <c r="K203" s="5"/>
      <c r="L203" s="5"/>
      <c r="M203" s="5"/>
    </row>
    <row r="204" spans="1:13" x14ac:dyDescent="0.25">
      <c r="A204" s="8"/>
      <c r="B204" s="30">
        <v>183</v>
      </c>
      <c r="C204" s="30">
        <v>2.0289682204552202</v>
      </c>
      <c r="D204" s="30">
        <v>2.8955522223262764</v>
      </c>
      <c r="E204" s="30">
        <v>1.9860765224827045E-3</v>
      </c>
      <c r="F204" s="8"/>
      <c r="G204" s="8"/>
      <c r="H204" s="8"/>
      <c r="I204" s="5"/>
      <c r="J204" s="5"/>
      <c r="K204" s="5"/>
      <c r="L204" s="5"/>
      <c r="M204" s="5"/>
    </row>
    <row r="205" spans="1:13" x14ac:dyDescent="0.25">
      <c r="A205" s="8"/>
      <c r="B205" s="30">
        <v>184</v>
      </c>
      <c r="C205" s="30">
        <v>2.0284375112565951</v>
      </c>
      <c r="D205" s="30">
        <v>2.8974657467166702</v>
      </c>
      <c r="E205" s="30">
        <v>1.9139717159411332E-3</v>
      </c>
      <c r="F205" s="8"/>
      <c r="G205" s="8"/>
      <c r="H205" s="8"/>
      <c r="I205" s="5"/>
      <c r="J205" s="5"/>
      <c r="K205" s="5"/>
      <c r="L205" s="5"/>
      <c r="M205" s="5"/>
    </row>
    <row r="206" spans="1:13" x14ac:dyDescent="0.25">
      <c r="A206" s="8"/>
      <c r="B206" s="30">
        <v>185</v>
      </c>
      <c r="C206" s="30">
        <v>2.0279165248593394</v>
      </c>
      <c r="D206" s="30">
        <v>2.8993442145872015</v>
      </c>
      <c r="E206" s="30">
        <v>1.8444846852342842E-3</v>
      </c>
      <c r="F206" s="8"/>
      <c r="G206" s="8"/>
      <c r="H206" s="8"/>
      <c r="I206" s="5"/>
      <c r="J206" s="5"/>
      <c r="K206" s="5"/>
      <c r="L206" s="5"/>
      <c r="M206" s="5"/>
    </row>
    <row r="207" spans="1:13" x14ac:dyDescent="0.25">
      <c r="A207" s="8"/>
      <c r="B207" s="30">
        <v>186</v>
      </c>
      <c r="C207" s="30">
        <v>2.0274050831379054</v>
      </c>
      <c r="D207" s="30">
        <v>2.9011882681871097</v>
      </c>
      <c r="E207" s="30">
        <v>1.7775203916171225E-3</v>
      </c>
      <c r="F207" s="8"/>
      <c r="G207" s="8"/>
      <c r="H207" s="8"/>
      <c r="I207" s="5"/>
      <c r="J207" s="5"/>
      <c r="K207" s="5"/>
      <c r="L207" s="5"/>
      <c r="M207" s="5"/>
    </row>
    <row r="208" spans="1:13" x14ac:dyDescent="0.25">
      <c r="A208" s="8"/>
      <c r="B208" s="30">
        <v>187</v>
      </c>
      <c r="C208" s="30">
        <v>2.0269030112300768</v>
      </c>
      <c r="D208" s="30">
        <v>2.9029985379993759</v>
      </c>
      <c r="E208" s="30">
        <v>1.7129872467406201E-3</v>
      </c>
      <c r="F208" s="8"/>
      <c r="G208" s="8"/>
      <c r="H208" s="8"/>
      <c r="I208" s="5"/>
      <c r="J208" s="5"/>
      <c r="K208" s="5"/>
      <c r="L208" s="5"/>
      <c r="M208" s="5"/>
    </row>
    <row r="209" spans="1:13" x14ac:dyDescent="0.25">
      <c r="A209" s="8"/>
      <c r="B209" s="30">
        <v>188</v>
      </c>
      <c r="C209" s="30">
        <v>2.0264101374771797</v>
      </c>
      <c r="D209" s="30">
        <v>2.9047756429562845</v>
      </c>
      <c r="E209" s="30">
        <v>1.6507969873844255E-3</v>
      </c>
      <c r="F209" s="8"/>
      <c r="G209" s="8"/>
      <c r="H209" s="8"/>
      <c r="I209" s="5"/>
      <c r="J209" s="5"/>
      <c r="K209" s="5"/>
      <c r="L209" s="5"/>
      <c r="M209" s="5"/>
    </row>
    <row r="210" spans="1:13" x14ac:dyDescent="0.25">
      <c r="A210" s="8"/>
      <c r="B210" s="30">
        <v>189</v>
      </c>
      <c r="C210" s="30">
        <v>2.0259262933653965</v>
      </c>
      <c r="D210" s="30">
        <v>2.9065201906510372</v>
      </c>
      <c r="E210" s="30">
        <v>1.5908645547377768E-3</v>
      </c>
      <c r="F210" s="8"/>
      <c r="G210" s="8"/>
      <c r="H210" s="8"/>
      <c r="I210" s="5"/>
      <c r="J210" s="5"/>
      <c r="K210" s="5"/>
      <c r="L210" s="5"/>
      <c r="M210" s="5"/>
    </row>
    <row r="211" spans="1:13" x14ac:dyDescent="0.25">
      <c r="A211" s="8"/>
      <c r="B211" s="30">
        <v>190</v>
      </c>
      <c r="C211" s="30">
        <v>2.0254513134681491</v>
      </c>
      <c r="D211" s="30">
        <v>2.9082327775454888</v>
      </c>
      <c r="E211" s="30">
        <v>1.5331079780628188E-3</v>
      </c>
      <c r="F211" s="8"/>
      <c r="G211" s="8"/>
      <c r="H211" s="8"/>
      <c r="I211" s="5"/>
      <c r="J211" s="5"/>
      <c r="K211" s="5"/>
      <c r="L211" s="5"/>
      <c r="M211" s="5"/>
    </row>
    <row r="212" spans="1:13" x14ac:dyDescent="0.25">
      <c r="A212" s="8"/>
      <c r="B212" s="30">
        <v>191</v>
      </c>
      <c r="C212" s="30">
        <v>2.0249850353895384</v>
      </c>
      <c r="D212" s="30">
        <v>2.9099139891740786</v>
      </c>
      <c r="E212" s="30">
        <v>1.4774482625814656E-3</v>
      </c>
      <c r="F212" s="8"/>
      <c r="G212" s="8"/>
      <c r="H212" s="8"/>
      <c r="I212" s="5"/>
      <c r="J212" s="5"/>
      <c r="K212" s="5"/>
      <c r="L212" s="5"/>
      <c r="M212" s="5"/>
    </row>
    <row r="213" spans="1:13" x14ac:dyDescent="0.25">
      <c r="A213" s="8"/>
      <c r="B213" s="30">
        <v>192</v>
      </c>
      <c r="C213" s="30">
        <v>2.0245272997088226</v>
      </c>
      <c r="D213" s="30">
        <v>2.911564400344024</v>
      </c>
      <c r="E213" s="30">
        <v>1.4238092814331219E-3</v>
      </c>
      <c r="F213" s="8"/>
      <c r="G213" s="8"/>
      <c r="H213" s="8"/>
      <c r="I213" s="5"/>
      <c r="J213" s="5"/>
      <c r="K213" s="5"/>
      <c r="L213" s="5"/>
      <c r="M213" s="5"/>
    </row>
    <row r="214" spans="1:13" x14ac:dyDescent="0.25">
      <c r="A214" s="8"/>
      <c r="B214" s="30">
        <v>193</v>
      </c>
      <c r="C214" s="30">
        <v>2.0240779499259105</v>
      </c>
      <c r="D214" s="30">
        <v>2.9131845753318486</v>
      </c>
      <c r="E214" s="30">
        <v>1.372117671554218E-3</v>
      </c>
      <c r="F214" s="8"/>
      <c r="G214" s="8"/>
      <c r="H214" s="8"/>
      <c r="I214" s="5"/>
      <c r="J214" s="5"/>
      <c r="K214" s="5"/>
      <c r="L214" s="5"/>
      <c r="M214" s="5"/>
    </row>
    <row r="215" spans="1:13" x14ac:dyDescent="0.25">
      <c r="A215" s="8"/>
      <c r="B215" s="30">
        <v>194</v>
      </c>
      <c r="C215" s="30">
        <v>2.0236368324078544</v>
      </c>
      <c r="D215" s="30">
        <v>2.9147750680763074</v>
      </c>
      <c r="E215" s="30">
        <v>1.3223027333382489E-3</v>
      </c>
      <c r="F215" s="8"/>
      <c r="G215" s="8"/>
      <c r="H215" s="8"/>
      <c r="I215" s="5"/>
      <c r="J215" s="5"/>
      <c r="K215" s="5"/>
      <c r="L215" s="5"/>
      <c r="M215" s="5"/>
    </row>
    <row r="216" spans="1:13" x14ac:dyDescent="0.25">
      <c r="A216" s="8"/>
      <c r="B216" s="30">
        <v>195</v>
      </c>
      <c r="C216" s="30">
        <v>2.0232037963363223</v>
      </c>
      <c r="D216" s="30">
        <v>2.9163364223677801</v>
      </c>
      <c r="E216" s="30">
        <v>1.2742963339385E-3</v>
      </c>
      <c r="F216" s="8"/>
      <c r="G216" s="8"/>
      <c r="H216" s="8"/>
      <c r="I216" s="5"/>
      <c r="J216" s="5"/>
      <c r="K216" s="5"/>
      <c r="L216" s="5"/>
      <c r="M216" s="5"/>
    </row>
    <row r="217" spans="1:13" x14ac:dyDescent="0.25">
      <c r="A217" s="8"/>
      <c r="B217" s="30">
        <v>196</v>
      </c>
      <c r="C217" s="30">
        <v>2.0227786936560341</v>
      </c>
      <c r="D217" s="30">
        <v>2.9178691720341918</v>
      </c>
      <c r="E217" s="30">
        <v>1.2280328140816272E-3</v>
      </c>
      <c r="F217" s="8"/>
      <c r="G217" s="8"/>
      <c r="H217" s="8"/>
      <c r="I217" s="5"/>
      <c r="J217" s="5"/>
      <c r="K217" s="5"/>
      <c r="L217" s="5"/>
      <c r="M217" s="5"/>
    </row>
    <row r="218" spans="1:13" x14ac:dyDescent="0.25">
      <c r="A218" s="8"/>
      <c r="B218" s="30">
        <v>197</v>
      </c>
      <c r="C218" s="30">
        <v>2.0223613790241393</v>
      </c>
      <c r="D218" s="30">
        <v>2.919373841123531</v>
      </c>
      <c r="E218" s="30">
        <v>1.183448898263825E-3</v>
      </c>
      <c r="F218" s="8"/>
      <c r="G218" s="8"/>
      <c r="H218" s="8"/>
      <c r="I218" s="5"/>
      <c r="J218" s="5"/>
      <c r="K218" s="5"/>
      <c r="L218" s="5"/>
      <c r="M218" s="5"/>
    </row>
    <row r="219" spans="1:13" x14ac:dyDescent="0.25">
      <c r="A219" s="8"/>
      <c r="B219" s="30">
        <v>198</v>
      </c>
      <c r="C219" s="30">
        <v>2.0219517097605268</v>
      </c>
      <c r="D219" s="30">
        <v>2.9208509440830199</v>
      </c>
      <c r="E219" s="30">
        <v>1.1404836082082013E-3</v>
      </c>
      <c r="F219" s="8"/>
      <c r="G219" s="8"/>
      <c r="H219" s="8"/>
      <c r="I219" s="5"/>
      <c r="J219" s="5"/>
      <c r="K219" s="5"/>
      <c r="L219" s="5"/>
      <c r="M219" s="5"/>
    </row>
    <row r="220" spans="1:13" x14ac:dyDescent="0.25">
      <c r="A220" s="8"/>
      <c r="B220" s="30">
        <v>199</v>
      </c>
      <c r="C220" s="30">
        <v>2.0215495457990413</v>
      </c>
      <c r="D220" s="30">
        <v>2.9223009859350055</v>
      </c>
      <c r="E220" s="30">
        <v>1.0990781794632785E-3</v>
      </c>
      <c r="F220" s="8"/>
      <c r="G220" s="8"/>
      <c r="H220" s="8"/>
      <c r="I220" s="5"/>
      <c r="J220" s="5"/>
      <c r="K220" s="5"/>
      <c r="L220" s="5"/>
      <c r="M220" s="5"/>
    </row>
    <row r="221" spans="1:13" x14ac:dyDescent="0.25">
      <c r="A221" s="8"/>
      <c r="B221" s="30">
        <v>200</v>
      </c>
      <c r="C221" s="30">
        <v>2.0211547496395941</v>
      </c>
      <c r="D221" s="30">
        <v>2.9237244624496266</v>
      </c>
      <c r="E221" s="30">
        <v>1.0591759810297378E-3</v>
      </c>
      <c r="F221" s="8"/>
      <c r="G221" s="8"/>
      <c r="H221" s="8"/>
      <c r="I221" s="5"/>
      <c r="J221" s="5"/>
      <c r="K221" s="5"/>
      <c r="L221" s="5"/>
      <c r="M221" s="5"/>
    </row>
    <row r="222" spans="1:13" x14ac:dyDescent="0.25">
      <c r="A222" s="8"/>
      <c r="B222" s="30">
        <v>201</v>
      </c>
      <c r="C222" s="30">
        <v>2.0207671863011525</v>
      </c>
      <c r="D222" s="30">
        <v>2.9251218603143183</v>
      </c>
      <c r="E222" s="30">
        <v>1.0207224379053686E-3</v>
      </c>
      <c r="F222" s="8"/>
      <c r="G222" s="8"/>
      <c r="H222" s="8"/>
      <c r="I222" s="5"/>
      <c r="J222" s="5"/>
      <c r="K222" s="5"/>
      <c r="L222" s="5"/>
      <c r="M222" s="5"/>
    </row>
    <row r="223" spans="1:13" x14ac:dyDescent="0.25">
      <c r="A223" s="8"/>
      <c r="B223" s="30">
        <v>202</v>
      </c>
      <c r="C223" s="30">
        <v>2.020386723275589</v>
      </c>
      <c r="D223" s="30">
        <v>2.9264936573002096</v>
      </c>
      <c r="E223" s="30">
        <v>9.8366495644146312E-4</v>
      </c>
      <c r="F223" s="8"/>
      <c r="G223" s="8"/>
      <c r="H223" s="8"/>
      <c r="I223" s="5"/>
      <c r="J223" s="5"/>
      <c r="K223" s="5"/>
      <c r="L223" s="5"/>
      <c r="M223" s="5"/>
    </row>
    <row r="224" spans="1:13" x14ac:dyDescent="0.25">
      <c r="A224" s="8"/>
      <c r="B224" s="30">
        <v>203</v>
      </c>
      <c r="C224" s="30">
        <v>2.0200132304823781</v>
      </c>
      <c r="D224" s="30">
        <v>2.927840322425475</v>
      </c>
      <c r="E224" s="30">
        <v>9.4795285240971655E-4</v>
      </c>
      <c r="F224" s="8"/>
      <c r="G224" s="8"/>
      <c r="H224" s="8"/>
      <c r="I224" s="5"/>
      <c r="J224" s="5"/>
      <c r="K224" s="5"/>
      <c r="L224" s="5"/>
      <c r="M224" s="5"/>
    </row>
    <row r="225" spans="1:13" x14ac:dyDescent="0.25">
      <c r="A225" s="8"/>
      <c r="B225" s="30">
        <v>204</v>
      </c>
      <c r="C225" s="30">
        <v>2.0196465802241197</v>
      </c>
      <c r="D225" s="30">
        <v>2.9291623161156917</v>
      </c>
      <c r="E225" s="30">
        <v>9.1353728168031348E-4</v>
      </c>
      <c r="F225" s="8"/>
      <c r="G225" s="8"/>
      <c r="H225" s="8"/>
      <c r="I225" s="5"/>
      <c r="J225" s="5"/>
      <c r="K225" s="5"/>
      <c r="L225" s="5"/>
      <c r="M225" s="5"/>
    </row>
    <row r="226" spans="1:13" x14ac:dyDescent="0.25">
      <c r="A226" s="8"/>
      <c r="B226" s="30">
        <v>205</v>
      </c>
      <c r="C226" s="30">
        <v>2.0192866471428808</v>
      </c>
      <c r="D226" s="30">
        <v>2.9304600903612581</v>
      </c>
      <c r="E226" s="30">
        <v>8.8037117341691897E-4</v>
      </c>
      <c r="F226" s="8"/>
      <c r="G226" s="8"/>
      <c r="H226" s="8"/>
      <c r="I226" s="5"/>
      <c r="J226" s="5"/>
      <c r="K226" s="5"/>
      <c r="L226" s="5"/>
      <c r="M226" s="5"/>
    </row>
    <row r="227" spans="1:13" x14ac:dyDescent="0.25">
      <c r="A227" s="8"/>
      <c r="B227" s="30">
        <v>206</v>
      </c>
      <c r="C227" s="30">
        <v>2.0189333081773344</v>
      </c>
      <c r="D227" s="30">
        <v>2.9317340888719321</v>
      </c>
      <c r="E227" s="30">
        <v>8.48409165696987E-4</v>
      </c>
      <c r="F227" s="8"/>
      <c r="G227" s="8"/>
      <c r="H227" s="8"/>
      <c r="I227" s="5"/>
      <c r="J227" s="5"/>
      <c r="K227" s="5"/>
      <c r="L227" s="5"/>
      <c r="M227" s="5"/>
    </row>
    <row r="228" spans="1:13" x14ac:dyDescent="0.25">
      <c r="A228" s="8"/>
      <c r="B228" s="30">
        <v>207</v>
      </c>
      <c r="C228" s="30">
        <v>2.0185864425206868</v>
      </c>
      <c r="D228" s="30">
        <v>2.9329847472285331</v>
      </c>
      <c r="E228" s="30">
        <v>8.1760754346932101E-4</v>
      </c>
      <c r="F228" s="8"/>
      <c r="G228" s="8"/>
      <c r="H228" s="8"/>
      <c r="I228" s="5"/>
      <c r="J228" s="5"/>
      <c r="K228" s="5"/>
      <c r="L228" s="5"/>
      <c r="M228" s="5"/>
    </row>
    <row r="229" spans="1:13" x14ac:dyDescent="0.25">
      <c r="A229" s="8"/>
      <c r="B229" s="30">
        <v>208</v>
      </c>
      <c r="C229" s="30">
        <v>2.0182459315793717</v>
      </c>
      <c r="D229" s="30">
        <v>2.9342124930318683</v>
      </c>
      <c r="E229" s="30">
        <v>7.8792417876440428E-4</v>
      </c>
      <c r="F229" s="8"/>
      <c r="G229" s="8"/>
      <c r="H229" s="8"/>
      <c r="I229" s="5"/>
      <c r="J229" s="5"/>
      <c r="K229" s="5"/>
      <c r="L229" s="5"/>
      <c r="M229" s="5"/>
    </row>
    <row r="230" spans="1:13" x14ac:dyDescent="0.25">
      <c r="A230" s="8"/>
      <c r="B230" s="30">
        <v>209</v>
      </c>
      <c r="C230" s="30">
        <v>2.0179116589325021</v>
      </c>
      <c r="D230" s="30">
        <v>2.9354177460489308</v>
      </c>
      <c r="E230" s="30">
        <v>7.593184730747528E-4</v>
      </c>
      <c r="F230" s="8"/>
      <c r="G230" s="8"/>
      <c r="H230" s="8"/>
      <c r="I230" s="5"/>
      <c r="J230" s="5"/>
      <c r="K230" s="5"/>
      <c r="L230" s="5"/>
      <c r="M230" s="5"/>
    </row>
    <row r="231" spans="1:13" x14ac:dyDescent="0.25">
      <c r="A231" s="8"/>
      <c r="B231" s="30">
        <v>210</v>
      </c>
      <c r="C231" s="30">
        <v>2.0175835102920705</v>
      </c>
      <c r="D231" s="30">
        <v>2.9366009183564166</v>
      </c>
      <c r="E231" s="30">
        <v>7.3175130182799824E-4</v>
      </c>
      <c r="F231" s="8"/>
      <c r="G231" s="8"/>
      <c r="H231" s="8"/>
      <c r="I231" s="5"/>
      <c r="J231" s="5"/>
      <c r="K231" s="5"/>
      <c r="L231" s="5"/>
      <c r="M231" s="5"/>
    </row>
    <row r="232" spans="1:13" x14ac:dyDescent="0.25">
      <c r="A232" s="8"/>
      <c r="B232" s="30">
        <v>211</v>
      </c>
      <c r="C232" s="30">
        <v>2.0172613734638678</v>
      </c>
      <c r="D232" s="30">
        <v>2.9377624144816146</v>
      </c>
      <c r="E232" s="30">
        <v>7.0518496087508878E-4</v>
      </c>
      <c r="F232" s="8"/>
      <c r="G232" s="8"/>
      <c r="H232" s="8"/>
      <c r="I232" s="5"/>
      <c r="J232" s="5"/>
      <c r="K232" s="5"/>
      <c r="L232" s="5"/>
      <c r="M232" s="5"/>
    </row>
    <row r="233" spans="1:13" x14ac:dyDescent="0.25">
      <c r="A233" s="8"/>
      <c r="B233" s="30">
        <v>212</v>
      </c>
      <c r="C233" s="30">
        <v>2.0169451383091288</v>
      </c>
      <c r="D233" s="30">
        <v>2.9389026315407145</v>
      </c>
      <c r="E233" s="30">
        <v>6.7958311492188612E-4</v>
      </c>
      <c r="F233" s="8"/>
      <c r="G233" s="8"/>
      <c r="H233" s="8"/>
      <c r="I233" s="5"/>
      <c r="J233" s="5"/>
      <c r="K233" s="5"/>
      <c r="L233" s="5"/>
      <c r="M233" s="5"/>
    </row>
    <row r="234" spans="1:13" x14ac:dyDescent="0.25">
      <c r="A234" s="8"/>
      <c r="B234" s="30">
        <v>213</v>
      </c>
      <c r="C234" s="30">
        <v>2.0166346967068725</v>
      </c>
      <c r="D234" s="30">
        <v>2.9400219593745813</v>
      </c>
      <c r="E234" s="30">
        <v>6.5491074783245783E-4</v>
      </c>
      <c r="F234" s="8"/>
      <c r="G234" s="8"/>
      <c r="H234" s="8"/>
      <c r="I234" s="5"/>
      <c r="J234" s="5"/>
      <c r="K234" s="5"/>
      <c r="L234" s="5"/>
      <c r="M234" s="5"/>
    </row>
    <row r="235" spans="1:13" x14ac:dyDescent="0.25">
      <c r="A235" s="8"/>
      <c r="B235" s="30">
        <v>214</v>
      </c>
      <c r="C235" s="30">
        <v>2.0163299425169381</v>
      </c>
      <c r="D235" s="30">
        <v>2.9411207806820419</v>
      </c>
      <c r="E235" s="30">
        <v>6.3113411473706652E-4</v>
      </c>
      <c r="F235" s="8"/>
      <c r="G235" s="8"/>
      <c r="H235" s="8"/>
      <c r="I235" s="5"/>
      <c r="J235" s="5"/>
      <c r="K235" s="5"/>
      <c r="L235" s="5"/>
      <c r="M235" s="5"/>
    </row>
    <row r="236" spans="1:13" x14ac:dyDescent="0.25">
      <c r="A236" s="8"/>
      <c r="B236" s="30">
        <v>215</v>
      </c>
      <c r="C236" s="30">
        <v>2.0160307715436936</v>
      </c>
      <c r="D236" s="30">
        <v>2.9421994711507296</v>
      </c>
      <c r="E236" s="30">
        <v>6.0822069587845255E-4</v>
      </c>
      <c r="F236" s="8"/>
      <c r="G236" s="8"/>
      <c r="H236" s="8"/>
      <c r="I236" s="5"/>
      <c r="J236" s="5"/>
      <c r="K236" s="5"/>
      <c r="L236" s="5"/>
      <c r="M236" s="5"/>
    </row>
    <row r="237" spans="1:13" x14ac:dyDescent="0.25">
      <c r="A237" s="8"/>
      <c r="B237" s="30">
        <v>216</v>
      </c>
      <c r="C237" s="30">
        <v>2.0157370815004119</v>
      </c>
      <c r="D237" s="30">
        <v>2.9432583995855333</v>
      </c>
      <c r="E237" s="30">
        <v>5.8613915213405715E-4</v>
      </c>
      <c r="F237" s="8"/>
      <c r="G237" s="8"/>
      <c r="H237" s="8"/>
      <c r="I237" s="5"/>
      <c r="J237" s="5"/>
      <c r="K237" s="5"/>
      <c r="L237" s="5"/>
      <c r="M237" s="5"/>
    </row>
    <row r="238" spans="1:13" x14ac:dyDescent="0.25">
      <c r="A238" s="8"/>
      <c r="B238" s="30">
        <v>217</v>
      </c>
      <c r="C238" s="30">
        <v>2.0154487719742988</v>
      </c>
      <c r="D238" s="30">
        <v>2.9442979280346901</v>
      </c>
      <c r="E238" s="30">
        <v>5.6485928215292442E-4</v>
      </c>
      <c r="F238" s="8"/>
      <c r="G238" s="8"/>
      <c r="H238" s="8"/>
      <c r="I238" s="5"/>
      <c r="J238" s="5"/>
      <c r="K238" s="5"/>
      <c r="L238" s="5"/>
      <c r="M238" s="5"/>
    </row>
    <row r="239" spans="1:13" x14ac:dyDescent="0.25">
      <c r="A239" s="8"/>
      <c r="B239" s="30">
        <v>218</v>
      </c>
      <c r="C239" s="30">
        <v>2.0151657443921631</v>
      </c>
      <c r="D239" s="30">
        <v>2.945318411913572</v>
      </c>
      <c r="E239" s="30">
        <v>5.4435198104856616E-4</v>
      </c>
      <c r="F239" s="8"/>
      <c r="G239" s="8"/>
      <c r="H239" s="8"/>
      <c r="I239" s="5"/>
      <c r="J239" s="5"/>
      <c r="K239" s="5"/>
      <c r="L239" s="5"/>
      <c r="M239" s="5"/>
    </row>
    <row r="240" spans="1:13" x14ac:dyDescent="0.25">
      <c r="A240" s="8"/>
      <c r="B240" s="30">
        <v>219</v>
      </c>
      <c r="C240" s="30">
        <v>2.0148879019867119</v>
      </c>
      <c r="D240" s="30">
        <v>2.9463202001262014</v>
      </c>
      <c r="E240" s="30">
        <v>5.2458920059187016E-4</v>
      </c>
      <c r="F240" s="8"/>
      <c r="G240" s="8"/>
      <c r="H240" s="8"/>
      <c r="I240" s="5"/>
      <c r="J240" s="5"/>
      <c r="K240" s="5"/>
      <c r="L240" s="5"/>
      <c r="M240" s="5"/>
    </row>
    <row r="241" spans="1:13" x14ac:dyDescent="0.25">
      <c r="A241" s="8"/>
      <c r="B241" s="30">
        <v>220</v>
      </c>
      <c r="C241" s="30">
        <v>2.0146151497634683</v>
      </c>
      <c r="D241" s="30">
        <v>2.9473036351845407</v>
      </c>
      <c r="E241" s="30">
        <v>5.0554391084885555E-4</v>
      </c>
      <c r="F241" s="8"/>
      <c r="G241" s="8"/>
      <c r="H241" s="8"/>
      <c r="I241" s="5"/>
      <c r="J241" s="5"/>
      <c r="K241" s="5"/>
      <c r="L241" s="5"/>
      <c r="M241" s="5"/>
    </row>
    <row r="242" spans="1:13" x14ac:dyDescent="0.25">
      <c r="A242" s="8"/>
      <c r="B242" s="30">
        <v>221</v>
      </c>
      <c r="C242" s="30">
        <v>2.0143473944682908</v>
      </c>
      <c r="D242" s="30">
        <v>2.9482690533255993</v>
      </c>
      <c r="E242" s="30">
        <v>4.8719006321140288E-4</v>
      </c>
      <c r="F242" s="8"/>
      <c r="G242" s="8"/>
      <c r="H242" s="8"/>
      <c r="I242" s="5"/>
      <c r="J242" s="5"/>
      <c r="K242" s="5"/>
      <c r="L242" s="5"/>
      <c r="M242" s="5"/>
    </row>
    <row r="243" spans="1:13" x14ac:dyDescent="0.25">
      <c r="A243" s="8"/>
      <c r="B243" s="30">
        <v>222</v>
      </c>
      <c r="C243" s="30">
        <v>2.0140845445554909</v>
      </c>
      <c r="D243" s="30">
        <v>2.9492167846263921</v>
      </c>
      <c r="E243" s="30">
        <v>4.6950255476991155E-4</v>
      </c>
      <c r="F243" s="8"/>
      <c r="G243" s="8"/>
      <c r="H243" s="8"/>
      <c r="I243" s="5"/>
      <c r="J243" s="5"/>
      <c r="K243" s="5"/>
      <c r="L243" s="5"/>
      <c r="M243" s="5"/>
    </row>
    <row r="244" spans="1:13" x14ac:dyDescent="0.25">
      <c r="A244" s="8"/>
      <c r="B244" s="30">
        <v>223</v>
      </c>
      <c r="C244" s="30">
        <v>2.0138265101565334</v>
      </c>
      <c r="D244" s="30">
        <v>2.9501471531167929</v>
      </c>
      <c r="E244" s="30">
        <v>4.5245719397983319E-4</v>
      </c>
      <c r="F244" s="8"/>
      <c r="G244" s="8"/>
      <c r="H244" s="8"/>
      <c r="I244" s="5"/>
      <c r="J244" s="5"/>
      <c r="K244" s="5"/>
      <c r="L244" s="5"/>
      <c r="M244" s="5"/>
    </row>
    <row r="245" spans="1:13" x14ac:dyDescent="0.25">
      <c r="A245" s="8"/>
      <c r="B245" s="30">
        <v>224</v>
      </c>
      <c r="C245" s="30">
        <v>2.0135732030493085</v>
      </c>
      <c r="D245" s="30">
        <v>2.951060476890321</v>
      </c>
      <c r="E245" s="30">
        <v>4.3603066757414647E-4</v>
      </c>
      <c r="F245" s="8"/>
      <c r="G245" s="8"/>
      <c r="H245" s="8"/>
      <c r="I245" s="5"/>
      <c r="J245" s="5"/>
      <c r="K245" s="5"/>
      <c r="L245" s="5"/>
      <c r="M245" s="5"/>
    </row>
    <row r="246" spans="1:13" x14ac:dyDescent="0.25">
      <c r="A246" s="8"/>
      <c r="B246" s="30">
        <v>225</v>
      </c>
      <c r="C246" s="30">
        <v>2.0133245366279731</v>
      </c>
      <c r="D246" s="30">
        <v>2.9519570682128968</v>
      </c>
      <c r="E246" s="30">
        <v>4.2020050867759622E-4</v>
      </c>
      <c r="F246" s="8"/>
      <c r="G246" s="8"/>
      <c r="H246" s="8"/>
      <c r="I246" s="5"/>
      <c r="J246" s="5"/>
      <c r="K246" s="5"/>
      <c r="L246" s="5"/>
      <c r="M246" s="5"/>
    </row>
    <row r="247" spans="1:13" x14ac:dyDescent="0.25">
      <c r="A247" s="8"/>
      <c r="B247" s="30">
        <v>226</v>
      </c>
      <c r="C247" s="30">
        <v>2.0130804258733335</v>
      </c>
      <c r="D247" s="30">
        <v>2.9528372336296069</v>
      </c>
      <c r="E247" s="30">
        <v>4.0494506607814082E-4</v>
      </c>
      <c r="F247" s="8"/>
      <c r="G247" s="8"/>
      <c r="H247" s="8"/>
      <c r="I247" s="5"/>
      <c r="J247" s="5"/>
      <c r="K247" s="5"/>
      <c r="L247" s="5"/>
      <c r="M247" s="5"/>
    </row>
    <row r="248" spans="1:13" x14ac:dyDescent="0.25">
      <c r="A248" s="8"/>
      <c r="B248" s="30">
        <v>227</v>
      </c>
      <c r="C248" s="30">
        <v>2.0128407873237846</v>
      </c>
      <c r="D248" s="30">
        <v>2.9537012740695108</v>
      </c>
      <c r="E248" s="30">
        <v>3.9024347461427835E-4</v>
      </c>
      <c r="F248" s="8"/>
      <c r="G248" s="8"/>
      <c r="H248" s="8"/>
      <c r="I248" s="5"/>
      <c r="J248" s="5"/>
      <c r="K248" s="5"/>
      <c r="L248" s="5"/>
      <c r="M248" s="5"/>
    </row>
    <row r="249" spans="1:13" x14ac:dyDescent="0.25">
      <c r="A249" s="8"/>
      <c r="B249" s="30">
        <v>228</v>
      </c>
      <c r="C249" s="30">
        <v>2.0126055390467683</v>
      </c>
      <c r="D249" s="30">
        <v>2.954549484948529</v>
      </c>
      <c r="E249" s="30">
        <v>3.7607562663731774E-4</v>
      </c>
      <c r="F249" s="8"/>
      <c r="G249" s="8"/>
      <c r="H249" s="8"/>
      <c r="I249" s="5"/>
      <c r="J249" s="5"/>
      <c r="K249" s="5"/>
      <c r="L249" s="5"/>
      <c r="M249" s="5"/>
    </row>
    <row r="250" spans="1:13" x14ac:dyDescent="0.25">
      <c r="A250" s="8"/>
      <c r="B250" s="30">
        <v>229</v>
      </c>
      <c r="C250" s="30">
        <v>2.0123746006107646</v>
      </c>
      <c r="D250" s="30">
        <v>2.9553821562704465</v>
      </c>
      <c r="E250" s="30">
        <v>3.6242214450974238E-4</v>
      </c>
      <c r="F250" s="8"/>
      <c r="G250" s="8"/>
      <c r="H250" s="8"/>
      <c r="I250" s="5"/>
      <c r="J250" s="5"/>
      <c r="K250" s="5"/>
      <c r="L250" s="5"/>
      <c r="M250" s="5"/>
    </row>
    <row r="251" spans="1:13" x14ac:dyDescent="0.25">
      <c r="A251" s="8"/>
      <c r="B251" s="30">
        <v>230</v>
      </c>
      <c r="C251" s="30">
        <v>2.0121478930577896</v>
      </c>
      <c r="D251" s="30">
        <v>2.956199572726065</v>
      </c>
      <c r="E251" s="30">
        <v>3.4926435410217977E-4</v>
      </c>
      <c r="F251" s="8"/>
      <c r="G251" s="8"/>
      <c r="H251" s="8"/>
      <c r="I251" s="5"/>
      <c r="J251" s="5"/>
      <c r="K251" s="5"/>
      <c r="L251" s="5"/>
      <c r="M251" s="5"/>
    </row>
    <row r="252" spans="1:13" x14ac:dyDescent="0.25">
      <c r="A252" s="8"/>
      <c r="B252" s="30">
        <v>231</v>
      </c>
      <c r="C252" s="30">
        <v>2.0119253388764013</v>
      </c>
      <c r="D252" s="30">
        <v>2.9570020137905382</v>
      </c>
      <c r="E252" s="30">
        <v>3.3658425925218619E-4</v>
      </c>
      <c r="F252" s="8"/>
      <c r="G252" s="8"/>
      <c r="H252" s="8"/>
      <c r="I252" s="5"/>
      <c r="J252" s="5"/>
      <c r="K252" s="5"/>
      <c r="L252" s="5"/>
      <c r="M252" s="5"/>
    </row>
    <row r="253" spans="1:13" x14ac:dyDescent="0.25">
      <c r="A253" s="8"/>
      <c r="B253" s="30">
        <v>232</v>
      </c>
      <c r="C253" s="30">
        <v>2.0117068619751985</v>
      </c>
      <c r="D253" s="30">
        <v>2.9577897538189246</v>
      </c>
      <c r="E253" s="30">
        <v>3.2436451715083306E-4</v>
      </c>
      <c r="F253" s="8"/>
      <c r="G253" s="8"/>
      <c r="H253" s="8"/>
      <c r="I253" s="5"/>
      <c r="J253" s="5"/>
      <c r="K253" s="5"/>
      <c r="L253" s="5"/>
      <c r="M253" s="5"/>
    </row>
    <row r="254" spans="1:13" x14ac:dyDescent="0.25">
      <c r="A254" s="8"/>
      <c r="B254" s="30">
        <v>233</v>
      </c>
      <c r="C254" s="30">
        <v>2.0114923876568032</v>
      </c>
      <c r="D254" s="30">
        <v>2.9585630621399912</v>
      </c>
      <c r="E254" s="30">
        <v>3.1258841462238654E-4</v>
      </c>
      <c r="F254" s="8"/>
      <c r="G254" s="8"/>
      <c r="H254" s="8"/>
      <c r="I254" s="5"/>
      <c r="J254" s="5"/>
      <c r="K254" s="5"/>
      <c r="L254" s="5"/>
      <c r="M254" s="5"/>
    </row>
    <row r="255" spans="1:13" x14ac:dyDescent="0.25">
      <c r="A255" s="8"/>
      <c r="B255" s="30">
        <v>234</v>
      </c>
      <c r="C255" s="30">
        <v>2.0112818425923225</v>
      </c>
      <c r="D255" s="30">
        <v>2.9593222031482953</v>
      </c>
      <c r="E255" s="30">
        <v>3.0123984526548187E-4</v>
      </c>
      <c r="F255" s="8"/>
      <c r="G255" s="8"/>
      <c r="H255" s="8"/>
      <c r="I255" s="5"/>
      <c r="J255" s="5"/>
      <c r="K255" s="5"/>
      <c r="L255" s="5"/>
      <c r="M255" s="5"/>
    </row>
    <row r="256" spans="1:13" x14ac:dyDescent="0.25">
      <c r="A256" s="8"/>
      <c r="B256" s="30">
        <v>235</v>
      </c>
      <c r="C256" s="30">
        <v>2.0110751547962793</v>
      </c>
      <c r="D256" s="30">
        <v>2.9600674363945818</v>
      </c>
      <c r="E256" s="30">
        <v>2.9030328742413934E-4</v>
      </c>
      <c r="F256" s="8"/>
      <c r="G256" s="8"/>
      <c r="H256" s="8"/>
      <c r="I256" s="5"/>
      <c r="J256" s="5"/>
      <c r="K256" s="5"/>
      <c r="L256" s="5"/>
      <c r="M256" s="5"/>
    </row>
    <row r="257" spans="1:13" x14ac:dyDescent="0.25">
      <c r="A257" s="8"/>
      <c r="B257" s="30">
        <v>236</v>
      </c>
      <c r="C257" s="30">
        <v>2.0108722536019976</v>
      </c>
      <c r="D257" s="30">
        <v>2.9607990166745242</v>
      </c>
      <c r="E257" s="30">
        <v>2.7976378295836875E-4</v>
      </c>
      <c r="F257" s="8"/>
      <c r="G257" s="8"/>
      <c r="H257" s="8"/>
      <c r="I257" s="5"/>
      <c r="J257" s="5"/>
      <c r="K257" s="5"/>
      <c r="L257" s="5"/>
      <c r="M257" s="5"/>
    </row>
    <row r="258" spans="1:13" x14ac:dyDescent="0.25">
      <c r="A258" s="8"/>
      <c r="B258" s="30">
        <v>237</v>
      </c>
      <c r="C258" s="30">
        <v>2.0106730696374431</v>
      </c>
      <c r="D258" s="30">
        <v>2.9615171941158387</v>
      </c>
      <c r="E258" s="30">
        <v>2.6960691678569535E-4</v>
      </c>
      <c r="F258" s="8"/>
      <c r="G258" s="8"/>
      <c r="H258" s="8"/>
      <c r="I258" s="5"/>
      <c r="J258" s="5"/>
      <c r="K258" s="5"/>
      <c r="L258" s="5"/>
      <c r="M258" s="5"/>
    </row>
    <row r="259" spans="1:13" x14ac:dyDescent="0.25">
      <c r="A259" s="8"/>
      <c r="B259" s="30">
        <v>238</v>
      </c>
      <c r="C259" s="30">
        <v>2.0104775348015043</v>
      </c>
      <c r="D259" s="30">
        <v>2.9622222142638037</v>
      </c>
      <c r="E259" s="30">
        <v>2.5981879716541065E-4</v>
      </c>
      <c r="F259" s="8"/>
      <c r="G259" s="8"/>
      <c r="H259" s="8"/>
      <c r="I259" s="5"/>
      <c r="J259" s="5"/>
      <c r="K259" s="5"/>
      <c r="L259" s="5"/>
      <c r="M259" s="5"/>
    </row>
    <row r="260" spans="1:13" x14ac:dyDescent="0.25">
      <c r="A260" s="8"/>
      <c r="B260" s="30">
        <v>239</v>
      </c>
      <c r="C260" s="30">
        <v>2.0102855822407086</v>
      </c>
      <c r="D260" s="30">
        <v>2.9629143181652107</v>
      </c>
      <c r="E260" s="30">
        <v>2.5038603669852747E-4</v>
      </c>
      <c r="F260" s="8"/>
      <c r="G260" s="8"/>
      <c r="H260" s="8"/>
      <c r="I260" s="5"/>
      <c r="J260" s="5"/>
      <c r="K260" s="5"/>
      <c r="L260" s="5"/>
      <c r="M260" s="5"/>
    </row>
    <row r="261" spans="1:13" x14ac:dyDescent="0.25">
      <c r="A261" s="8"/>
      <c r="B261" s="30">
        <v>240</v>
      </c>
      <c r="C261" s="30">
        <v>2.0100971463263657</v>
      </c>
      <c r="D261" s="30">
        <v>2.9635937424507799</v>
      </c>
      <c r="E261" s="30">
        <v>2.4129573401760057E-4</v>
      </c>
      <c r="F261" s="8"/>
      <c r="G261" s="8"/>
      <c r="H261" s="8"/>
      <c r="I261" s="5"/>
      <c r="J261" s="5"/>
      <c r="K261" s="5"/>
      <c r="L261" s="5"/>
      <c r="M261" s="5"/>
    </row>
    <row r="262" spans="1:13" x14ac:dyDescent="0.25">
      <c r="A262" s="8"/>
      <c r="B262" s="30">
        <v>241</v>
      </c>
      <c r="C262" s="30">
        <v>2.0099121626321295</v>
      </c>
      <c r="D262" s="30">
        <v>2.9642607194160631</v>
      </c>
      <c r="E262" s="30">
        <v>2.3253545614125765E-4</v>
      </c>
      <c r="F262" s="8"/>
      <c r="G262" s="8"/>
      <c r="H262" s="8"/>
      <c r="I262" s="5"/>
      <c r="J262" s="5"/>
      <c r="K262" s="5"/>
      <c r="L262" s="5"/>
      <c r="M262" s="5"/>
    </row>
    <row r="263" spans="1:13" x14ac:dyDescent="0.25">
      <c r="A263" s="8"/>
      <c r="B263" s="30">
        <v>242</v>
      </c>
      <c r="C263" s="30">
        <v>2.0097305679119684</v>
      </c>
      <c r="D263" s="30">
        <v>2.9649154771008663</v>
      </c>
      <c r="E263" s="30">
        <v>2.2409322146938127E-4</v>
      </c>
      <c r="F263" s="8"/>
      <c r="G263" s="8"/>
      <c r="H263" s="8"/>
      <c r="I263" s="5"/>
      <c r="J263" s="5"/>
      <c r="K263" s="5"/>
      <c r="L263" s="5"/>
      <c r="M263" s="5"/>
    </row>
    <row r="264" spans="1:13" x14ac:dyDescent="0.25">
      <c r="A264" s="8"/>
      <c r="B264" s="30">
        <v>243</v>
      </c>
      <c r="C264" s="30">
        <v>2.0095523000785431</v>
      </c>
      <c r="D264" s="30">
        <v>2.9655582393672169</v>
      </c>
      <c r="E264" s="30">
        <v>2.1595748339562948E-4</v>
      </c>
      <c r="F264" s="8"/>
      <c r="G264" s="8"/>
      <c r="H264" s="8"/>
      <c r="I264" s="5"/>
      <c r="J264" s="5"/>
      <c r="K264" s="5"/>
      <c r="L264" s="5"/>
      <c r="M264" s="5"/>
    </row>
    <row r="265" spans="1:13" x14ac:dyDescent="0.25">
      <c r="A265" s="8"/>
      <c r="B265" s="30">
        <v>244</v>
      </c>
      <c r="C265" s="30">
        <v>2.0093772981819806</v>
      </c>
      <c r="D265" s="30">
        <v>2.9661892259759011</v>
      </c>
      <c r="E265" s="30">
        <v>2.0811711451498662E-4</v>
      </c>
      <c r="F265" s="8"/>
      <c r="G265" s="8"/>
      <c r="H265" s="8"/>
      <c r="I265" s="5"/>
      <c r="J265" s="5"/>
      <c r="K265" s="5"/>
      <c r="L265" s="5"/>
      <c r="M265" s="5"/>
    </row>
    <row r="266" spans="1:13" x14ac:dyDescent="0.25">
      <c r="A266" s="8"/>
      <c r="B266" s="30">
        <v>245</v>
      </c>
      <c r="C266" s="30">
        <v>2.0092055023890314</v>
      </c>
      <c r="D266" s="30">
        <v>2.9668086526616015</v>
      </c>
      <c r="E266" s="30">
        <v>2.0056139140451327E-4</v>
      </c>
      <c r="F266" s="8"/>
      <c r="G266" s="8"/>
      <c r="H266" s="8"/>
      <c r="I266" s="5"/>
      <c r="J266" s="5"/>
      <c r="K266" s="5"/>
      <c r="L266" s="5"/>
      <c r="M266" s="5"/>
    </row>
    <row r="267" spans="1:13" x14ac:dyDescent="0.25">
      <c r="A267" s="8"/>
      <c r="B267" s="30">
        <v>246</v>
      </c>
      <c r="C267" s="30">
        <v>2.0090368539626162</v>
      </c>
      <c r="D267" s="30">
        <v>2.9674167312066566</v>
      </c>
      <c r="E267" s="30">
        <v>1.9327997995675951E-4</v>
      </c>
      <c r="F267" s="8"/>
      <c r="G267" s="8"/>
      <c r="H267" s="8"/>
      <c r="I267" s="5"/>
      <c r="J267" s="5"/>
      <c r="K267" s="5"/>
      <c r="L267" s="5"/>
      <c r="M267" s="5"/>
    </row>
    <row r="268" spans="1:13" x14ac:dyDescent="0.25">
      <c r="A268" s="8"/>
      <c r="B268" s="30">
        <v>247</v>
      </c>
      <c r="C268" s="30">
        <v>2.0088712952417414</v>
      </c>
      <c r="D268" s="30">
        <v>2.9680136695134687</v>
      </c>
      <c r="E268" s="30">
        <v>1.8626292124558465E-4</v>
      </c>
      <c r="F268" s="8"/>
      <c r="G268" s="8"/>
      <c r="H268" s="8"/>
      <c r="I268" s="5"/>
      <c r="J268" s="5"/>
      <c r="K268" s="5"/>
      <c r="L268" s="5"/>
      <c r="M268" s="5"/>
    </row>
    <row r="269" spans="1:13" x14ac:dyDescent="0.25">
      <c r="A269" s="8"/>
      <c r="B269" s="30">
        <v>248</v>
      </c>
      <c r="C269" s="30">
        <v>2.0087087696217854</v>
      </c>
      <c r="D269" s="30">
        <v>2.968599671675586</v>
      </c>
      <c r="E269" s="30">
        <v>1.7950061790518901E-4</v>
      </c>
      <c r="F269" s="8"/>
      <c r="G269" s="8"/>
      <c r="H269" s="8"/>
      <c r="I269" s="5"/>
      <c r="J269" s="5"/>
      <c r="K269" s="5"/>
      <c r="L269" s="5"/>
      <c r="M269" s="5"/>
    </row>
    <row r="270" spans="1:13" x14ac:dyDescent="0.25">
      <c r="A270" s="8"/>
      <c r="B270" s="30">
        <v>249</v>
      </c>
      <c r="C270" s="30">
        <v>2.0085492215351457</v>
      </c>
      <c r="D270" s="30">
        <v>2.9691749380474839</v>
      </c>
      <c r="E270" s="30">
        <v>1.7298382100353787E-4</v>
      </c>
      <c r="F270" s="8"/>
      <c r="G270" s="8"/>
      <c r="H270" s="8"/>
      <c r="I270" s="5"/>
      <c r="J270" s="5"/>
      <c r="K270" s="5"/>
      <c r="L270" s="5"/>
      <c r="M270" s="5"/>
    </row>
    <row r="271" spans="1:13" x14ac:dyDescent="0.25">
      <c r="A271" s="8"/>
      <c r="B271" s="30">
        <v>250</v>
      </c>
      <c r="C271" s="30">
        <v>2.0083925964322402</v>
      </c>
      <c r="D271" s="30">
        <v>2.9697396653130634</v>
      </c>
      <c r="E271" s="30">
        <v>1.6670361739251667E-4</v>
      </c>
      <c r="F271" s="8"/>
      <c r="G271" s="8"/>
      <c r="H271" s="8"/>
      <c r="I271" s="5"/>
      <c r="J271" s="5"/>
      <c r="K271" s="5"/>
      <c r="L271" s="5"/>
      <c r="M271" s="5"/>
    </row>
    <row r="272" spans="1:13" x14ac:dyDescent="0.25">
      <c r="A272" s="8"/>
      <c r="B272" s="30">
        <v>251</v>
      </c>
      <c r="C272" s="30">
        <v>2.0082388407628566</v>
      </c>
      <c r="D272" s="30">
        <v>2.9702940465529002</v>
      </c>
      <c r="E272" s="30">
        <v>1.6065141751712853E-4</v>
      </c>
      <c r="F272" s="8"/>
      <c r="G272" s="8"/>
      <c r="H272" s="8"/>
      <c r="I272" s="5"/>
      <c r="J272" s="5"/>
      <c r="K272" s="5"/>
      <c r="L272" s="5"/>
      <c r="M272" s="5"/>
    </row>
    <row r="273" spans="1:13" x14ac:dyDescent="0.25">
      <c r="A273" s="8"/>
      <c r="B273" s="30">
        <v>252</v>
      </c>
      <c r="C273" s="30">
        <v>2.0080879019578446</v>
      </c>
      <c r="D273" s="30">
        <v>2.9708382713102566</v>
      </c>
      <c r="E273" s="30">
        <v>1.548189436675222E-4</v>
      </c>
      <c r="F273" s="8"/>
      <c r="G273" s="8"/>
      <c r="H273" s="8"/>
      <c r="I273" s="5"/>
      <c r="J273" s="5"/>
      <c r="K273" s="5"/>
      <c r="L273" s="5"/>
      <c r="M273" s="5"/>
    </row>
    <row r="274" spans="1:13" x14ac:dyDescent="0.25">
      <c r="A274" s="8"/>
      <c r="B274" s="30">
        <v>253</v>
      </c>
      <c r="C274" s="30">
        <v>2.0079397284111384</v>
      </c>
      <c r="D274" s="30">
        <v>2.9713725256558896</v>
      </c>
      <c r="E274" s="30">
        <v>1.4919821865729991E-4</v>
      </c>
      <c r="F274" s="8"/>
      <c r="G274" s="8"/>
      <c r="H274" s="8"/>
      <c r="I274" s="5"/>
      <c r="J274" s="5"/>
      <c r="K274" s="5"/>
      <c r="L274" s="5"/>
      <c r="M274" s="5"/>
    </row>
    <row r="275" spans="1:13" x14ac:dyDescent="0.25">
      <c r="A275" s="8"/>
      <c r="B275" s="30">
        <v>254</v>
      </c>
      <c r="C275" s="30">
        <v>2.0077942694621194</v>
      </c>
      <c r="D275" s="30">
        <v>2.9718969922516649</v>
      </c>
      <c r="E275" s="30">
        <v>1.4378155491306168E-4</v>
      </c>
      <c r="F275" s="8"/>
      <c r="G275" s="8"/>
      <c r="H275" s="8"/>
      <c r="I275" s="5"/>
      <c r="J275" s="5"/>
      <c r="K275" s="5"/>
      <c r="L275" s="5"/>
      <c r="M275" s="5"/>
    </row>
    <row r="276" spans="1:13" x14ac:dyDescent="0.25">
      <c r="A276" s="8"/>
      <c r="B276" s="30">
        <v>255</v>
      </c>
      <c r="C276" s="30">
        <v>2.0076514753782888</v>
      </c>
      <c r="D276" s="30">
        <v>2.9724118504130117</v>
      </c>
      <c r="E276" s="30">
        <v>1.3856154395985987E-4</v>
      </c>
      <c r="F276" s="8"/>
      <c r="G276" s="8"/>
      <c r="H276" s="8"/>
      <c r="I276" s="5"/>
      <c r="J276" s="5"/>
      <c r="K276" s="5"/>
      <c r="L276" s="5"/>
      <c r="M276" s="5"/>
    </row>
    <row r="277" spans="1:13" x14ac:dyDescent="0.25">
      <c r="A277" s="8"/>
      <c r="B277" s="30">
        <v>256</v>
      </c>
      <c r="C277" s="30">
        <v>2.0075112973382674</v>
      </c>
      <c r="D277" s="30">
        <v>2.9729172761702305</v>
      </c>
      <c r="E277" s="30">
        <v>1.335310462885854E-4</v>
      </c>
      <c r="F277" s="8"/>
      <c r="G277" s="8"/>
      <c r="H277" s="8"/>
      <c r="I277" s="5"/>
      <c r="J277" s="5"/>
      <c r="K277" s="5"/>
      <c r="L277" s="5"/>
      <c r="M277" s="5"/>
    </row>
    <row r="278" spans="1:13" x14ac:dyDescent="0.25">
      <c r="A278" s="8"/>
      <c r="B278" s="30">
        <v>257</v>
      </c>
      <c r="C278" s="30">
        <v>2.0073736874151042</v>
      </c>
      <c r="D278" s="30">
        <v>2.9734134423286762</v>
      </c>
      <c r="E278" s="30">
        <v>1.2868318159105278E-4</v>
      </c>
      <c r="F278" s="8"/>
      <c r="G278" s="8"/>
      <c r="H278" s="8"/>
      <c r="I278" s="5"/>
      <c r="J278" s="5"/>
      <c r="K278" s="5"/>
      <c r="L278" s="5"/>
      <c r="M278" s="5"/>
    </row>
    <row r="279" spans="1:13" x14ac:dyDescent="0.25">
      <c r="A279" s="8"/>
      <c r="B279" s="30">
        <v>258</v>
      </c>
      <c r="C279" s="30">
        <v>2.0072385985598866</v>
      </c>
      <c r="D279" s="30">
        <v>2.9739005185278424</v>
      </c>
      <c r="E279" s="30">
        <v>1.2401131934974054E-4</v>
      </c>
      <c r="F279" s="8"/>
      <c r="G279" s="8"/>
      <c r="H279" s="8"/>
      <c r="I279" s="5"/>
      <c r="J279" s="5"/>
      <c r="K279" s="5"/>
      <c r="L279" s="5"/>
      <c r="M279" s="5"/>
    </row>
    <row r="280" spans="1:13" x14ac:dyDescent="0.25">
      <c r="A280" s="8"/>
      <c r="B280" s="30">
        <v>259</v>
      </c>
      <c r="C280" s="30">
        <v>2.0071059845856585</v>
      </c>
      <c r="D280" s="30">
        <v>2.9743786712993607</v>
      </c>
      <c r="E280" s="30">
        <v>1.1950906976898549E-4</v>
      </c>
      <c r="F280" s="8"/>
      <c r="G280" s="8"/>
      <c r="H280" s="8"/>
      <c r="I280" s="5"/>
      <c r="J280" s="5"/>
      <c r="K280" s="5"/>
      <c r="L280" s="5"/>
      <c r="M280" s="5"/>
    </row>
    <row r="281" spans="1:13" x14ac:dyDescent="0.25">
      <c r="A281" s="8"/>
      <c r="B281" s="30">
        <v>260</v>
      </c>
      <c r="C281" s="30">
        <v>2.006975800151626</v>
      </c>
      <c r="D281" s="30">
        <v>2.974848064123937</v>
      </c>
      <c r="E281" s="30">
        <v>1.1517027503569476E-4</v>
      </c>
      <c r="F281" s="8"/>
      <c r="G281" s="8"/>
      <c r="H281" s="8"/>
      <c r="I281" s="5"/>
      <c r="J281" s="5"/>
      <c r="K281" s="5"/>
      <c r="L281" s="5"/>
      <c r="M281" s="5"/>
    </row>
    <row r="282" spans="1:13" x14ac:dyDescent="0.25">
      <c r="A282" s="8"/>
      <c r="B282" s="30">
        <v>261</v>
      </c>
      <c r="C282" s="30">
        <v>2.0068480007476559</v>
      </c>
      <c r="D282" s="30">
        <v>2.9753088574872466</v>
      </c>
      <c r="E282" s="30">
        <v>1.1098900089706681E-4</v>
      </c>
      <c r="F282" s="8"/>
      <c r="G282" s="8"/>
      <c r="H282" s="8"/>
      <c r="I282" s="5"/>
      <c r="J282" s="5"/>
      <c r="K282" s="5"/>
      <c r="L282" s="5"/>
      <c r="M282" s="5"/>
    </row>
    <row r="283" spans="1:13" x14ac:dyDescent="0.25">
      <c r="A283" s="8"/>
      <c r="B283" s="30">
        <v>262</v>
      </c>
      <c r="C283" s="30">
        <v>2.0067225426790607</v>
      </c>
      <c r="D283" s="30">
        <v>2.975761208934804</v>
      </c>
      <c r="E283" s="30">
        <v>1.069595285442525E-4</v>
      </c>
      <c r="F283" s="8"/>
      <c r="G283" s="8"/>
      <c r="H283" s="8"/>
      <c r="I283" s="5"/>
      <c r="J283" s="5"/>
      <c r="K283" s="5"/>
      <c r="L283" s="5"/>
      <c r="M283" s="5"/>
    </row>
    <row r="284" spans="1:13" x14ac:dyDescent="0.25">
      <c r="A284" s="8"/>
      <c r="B284" s="30">
        <v>263</v>
      </c>
      <c r="C284" s="30">
        <v>2.0065993830516526</v>
      </c>
      <c r="D284" s="30">
        <v>2.9762052731258279</v>
      </c>
      <c r="E284" s="30">
        <v>1.030763467905998E-4</v>
      </c>
      <c r="F284" s="8"/>
      <c r="G284" s="8"/>
      <c r="H284" s="8"/>
      <c r="I284" s="5"/>
      <c r="J284" s="5"/>
      <c r="K284" s="5"/>
      <c r="L284" s="5"/>
      <c r="M284" s="5"/>
    </row>
    <row r="285" spans="1:13" x14ac:dyDescent="0.25">
      <c r="A285" s="8"/>
      <c r="B285" s="30">
        <v>264</v>
      </c>
      <c r="C285" s="30">
        <v>2.0064784797570865</v>
      </c>
      <c r="D285" s="30">
        <v>2.9766412018861192</v>
      </c>
      <c r="E285" s="30">
        <v>9.933414453393275E-5</v>
      </c>
      <c r="F285" s="8"/>
      <c r="G285" s="8"/>
      <c r="H285" s="8"/>
      <c r="I285" s="5"/>
      <c r="J285" s="5"/>
      <c r="K285" s="5"/>
      <c r="L285" s="5"/>
      <c r="M285" s="5"/>
    </row>
    <row r="286" spans="1:13" x14ac:dyDescent="0.25">
      <c r="A286" s="8"/>
      <c r="B286" s="30">
        <v>265</v>
      </c>
      <c r="C286" s="30">
        <v>2.0063597914584554</v>
      </c>
      <c r="D286" s="30">
        <v>2.9770691442599708</v>
      </c>
      <c r="E286" s="30">
        <v>9.5727803492436228E-5</v>
      </c>
      <c r="F286" s="8"/>
      <c r="G286" s="8"/>
      <c r="H286" s="8"/>
      <c r="I286" s="5"/>
      <c r="J286" s="5"/>
      <c r="K286" s="5"/>
      <c r="L286" s="5"/>
      <c r="M286" s="5"/>
    </row>
    <row r="287" spans="1:13" x14ac:dyDescent="0.25">
      <c r="A287" s="8"/>
      <c r="B287" s="30">
        <v>266</v>
      </c>
      <c r="C287" s="30">
        <v>2.0062432775761629</v>
      </c>
      <c r="D287" s="30">
        <v>2.9774892465611247</v>
      </c>
      <c r="E287" s="30">
        <v>9.2252391204261568E-5</v>
      </c>
      <c r="F287" s="8"/>
      <c r="G287" s="8"/>
      <c r="H287" s="8"/>
      <c r="I287" s="5"/>
      <c r="J287" s="5"/>
      <c r="K287" s="5"/>
      <c r="L287" s="5"/>
      <c r="M287" s="5"/>
    </row>
    <row r="288" spans="1:13" x14ac:dyDescent="0.25">
      <c r="A288" s="8"/>
      <c r="B288" s="30">
        <v>267</v>
      </c>
      <c r="C288" s="30">
        <v>2.0061288982740462</v>
      </c>
      <c r="D288" s="30">
        <v>2.9779016524227981</v>
      </c>
      <c r="E288" s="30">
        <v>8.890315428137637E-5</v>
      </c>
      <c r="F288" s="8"/>
      <c r="G288" s="8"/>
      <c r="H288" s="8"/>
      <c r="I288" s="5"/>
      <c r="J288" s="5"/>
      <c r="K288" s="5"/>
      <c r="L288" s="5"/>
      <c r="M288" s="5"/>
    </row>
    <row r="289" spans="1:13" x14ac:dyDescent="0.25">
      <c r="A289" s="8"/>
      <c r="B289" s="30">
        <v>268</v>
      </c>
      <c r="C289" s="30">
        <v>2.0060166144457559</v>
      </c>
      <c r="D289" s="30">
        <v>2.9783065028467917</v>
      </c>
      <c r="E289" s="30">
        <v>8.5675511908176488E-5</v>
      </c>
      <c r="F289" s="8"/>
      <c r="G289" s="8"/>
      <c r="H289" s="8"/>
      <c r="I289" s="5"/>
      <c r="J289" s="5"/>
      <c r="K289" s="5"/>
      <c r="L289" s="5"/>
      <c r="M289" s="5"/>
    </row>
    <row r="290" spans="1:13" x14ac:dyDescent="0.25">
      <c r="A290" s="8"/>
      <c r="B290" s="30">
        <v>269</v>
      </c>
      <c r="C290" s="30">
        <v>2.005906387701387</v>
      </c>
      <c r="D290" s="30">
        <v>2.9787039362516965</v>
      </c>
      <c r="E290" s="30">
        <v>8.2565049576261397E-5</v>
      </c>
      <c r="F290" s="8"/>
      <c r="G290" s="8"/>
      <c r="H290" s="8"/>
      <c r="I290" s="5"/>
      <c r="J290" s="5"/>
      <c r="K290" s="5"/>
      <c r="L290" s="5"/>
      <c r="M290" s="5"/>
    </row>
    <row r="291" spans="1:13" x14ac:dyDescent="0.25">
      <c r="A291" s="8"/>
      <c r="B291" s="30">
        <v>270</v>
      </c>
      <c r="C291" s="30">
        <v>2.0057981803543523</v>
      </c>
      <c r="D291" s="30">
        <v>2.9790940885202213</v>
      </c>
      <c r="E291" s="30">
        <v>7.9567513046623908E-5</v>
      </c>
      <c r="F291" s="8"/>
      <c r="G291" s="8"/>
      <c r="H291" s="8"/>
      <c r="I291" s="5"/>
      <c r="J291" s="5"/>
      <c r="K291" s="5"/>
      <c r="L291" s="5"/>
      <c r="M291" s="5"/>
    </row>
    <row r="292" spans="1:13" x14ac:dyDescent="0.25">
      <c r="A292" s="8"/>
      <c r="B292" s="30">
        <v>271</v>
      </c>
      <c r="C292" s="30">
        <v>2.0056919554084982</v>
      </c>
      <c r="D292" s="30">
        <v>2.9794770930456496</v>
      </c>
      <c r="E292" s="30">
        <v>7.6678802531052558E-5</v>
      </c>
      <c r="F292" s="8"/>
      <c r="G292" s="8"/>
      <c r="H292" s="8"/>
      <c r="I292" s="5"/>
      <c r="J292" s="5"/>
      <c r="K292" s="5"/>
      <c r="L292" s="5"/>
      <c r="M292" s="5"/>
    </row>
    <row r="293" spans="1:13" x14ac:dyDescent="0.25">
      <c r="A293" s="8"/>
      <c r="B293" s="30">
        <v>272</v>
      </c>
      <c r="C293" s="30">
        <v>2.005587676545455</v>
      </c>
      <c r="D293" s="30">
        <v>2.9798530807774481</v>
      </c>
      <c r="E293" s="30">
        <v>7.3894967084755885E-5</v>
      </c>
      <c r="F293" s="8"/>
      <c r="G293" s="8"/>
      <c r="H293" s="8"/>
      <c r="I293" s="5"/>
      <c r="J293" s="5"/>
      <c r="K293" s="5"/>
      <c r="L293" s="5"/>
      <c r="M293" s="5"/>
    </row>
    <row r="294" spans="1:13" x14ac:dyDescent="0.25">
      <c r="A294" s="8"/>
      <c r="B294" s="30">
        <v>273</v>
      </c>
      <c r="C294" s="30">
        <v>2.0054853081122199</v>
      </c>
      <c r="D294" s="30">
        <v>2.9802221802660376</v>
      </c>
      <c r="E294" s="30">
        <v>7.1212199202596593E-5</v>
      </c>
      <c r="F294" s="8"/>
      <c r="G294" s="8"/>
      <c r="H294" s="8"/>
      <c r="I294" s="5"/>
      <c r="J294" s="5"/>
      <c r="K294" s="5"/>
      <c r="L294" s="5"/>
      <c r="M294" s="5"/>
    </row>
    <row r="295" spans="1:13" x14ac:dyDescent="0.25">
      <c r="A295" s="8"/>
      <c r="B295" s="30">
        <v>274</v>
      </c>
      <c r="C295" s="30">
        <v>2.0053848151089668</v>
      </c>
      <c r="D295" s="30">
        <v>2.9805845177067436</v>
      </c>
      <c r="E295" s="30">
        <v>6.8626829611455247E-5</v>
      </c>
      <c r="F295" s="8"/>
      <c r="G295" s="8"/>
      <c r="H295" s="8"/>
      <c r="I295" s="5"/>
      <c r="J295" s="5"/>
      <c r="K295" s="5"/>
      <c r="L295" s="5"/>
      <c r="M295" s="5"/>
    </row>
    <row r="296" spans="1:13" x14ac:dyDescent="0.25">
      <c r="A296" s="8"/>
      <c r="B296" s="30">
        <v>275</v>
      </c>
      <c r="C296" s="30">
        <v>2.0052861631770802</v>
      </c>
      <c r="D296" s="30">
        <v>2.9809402169829453</v>
      </c>
      <c r="E296" s="30">
        <v>6.6135322251757467E-5</v>
      </c>
      <c r="F296" s="8"/>
      <c r="G296" s="8"/>
      <c r="H296" s="8"/>
      <c r="I296" s="5"/>
      <c r="J296" s="5"/>
      <c r="K296" s="5"/>
      <c r="L296" s="5"/>
      <c r="M296" s="5"/>
    </row>
    <row r="297" spans="1:13" x14ac:dyDescent="0.25">
      <c r="A297" s="8"/>
      <c r="B297" s="30">
        <v>276</v>
      </c>
      <c r="C297" s="30">
        <v>2.0051893185874081</v>
      </c>
      <c r="D297" s="30">
        <v>2.9812893997084284</v>
      </c>
      <c r="E297" s="30">
        <v>6.3734269441074172E-5</v>
      </c>
      <c r="F297" s="8"/>
      <c r="G297" s="8"/>
      <c r="H297" s="8"/>
      <c r="I297" s="5"/>
      <c r="J297" s="5"/>
      <c r="K297" s="5"/>
      <c r="L297" s="5"/>
      <c r="M297" s="5"/>
    </row>
    <row r="298" spans="1:13" x14ac:dyDescent="0.25">
      <c r="A298" s="8"/>
      <c r="B298" s="30">
        <v>277</v>
      </c>
      <c r="C298" s="30">
        <v>2.0050942482287306</v>
      </c>
      <c r="D298" s="30">
        <v>2.9816321852689662</v>
      </c>
      <c r="E298" s="30">
        <v>6.1420387213425391E-5</v>
      </c>
      <c r="F298" s="8"/>
      <c r="G298" s="8"/>
      <c r="H298" s="8"/>
      <c r="I298" s="5"/>
      <c r="J298" s="5"/>
      <c r="K298" s="5"/>
      <c r="L298" s="5"/>
      <c r="M298" s="5"/>
    </row>
    <row r="299" spans="1:13" x14ac:dyDescent="0.25">
      <c r="A299" s="8"/>
      <c r="B299" s="30">
        <v>278</v>
      </c>
      <c r="C299" s="30">
        <v>2.0050009195964371</v>
      </c>
      <c r="D299" s="30">
        <v>2.9819686908631384</v>
      </c>
      <c r="E299" s="30">
        <v>5.9190510827702018E-5</v>
      </c>
      <c r="F299" s="8"/>
      <c r="G299" s="8"/>
      <c r="H299" s="8"/>
      <c r="I299" s="5"/>
      <c r="J299" s="5"/>
      <c r="K299" s="5"/>
      <c r="L299" s="5"/>
      <c r="M299" s="5"/>
    </row>
    <row r="300" spans="1:13" x14ac:dyDescent="0.25">
      <c r="A300" s="8"/>
      <c r="B300" s="30">
        <v>279</v>
      </c>
      <c r="C300" s="30">
        <v>2.0049093007814149</v>
      </c>
      <c r="D300" s="30">
        <v>2.9822990315424001</v>
      </c>
      <c r="E300" s="30">
        <v>5.7041590439182686E-5</v>
      </c>
      <c r="F300" s="8"/>
      <c r="G300" s="8"/>
      <c r="H300" s="8"/>
      <c r="I300" s="5"/>
      <c r="J300" s="5"/>
      <c r="K300" s="5"/>
      <c r="L300" s="5"/>
      <c r="M300" s="5"/>
    </row>
    <row r="301" spans="1:13" x14ac:dyDescent="0.25">
      <c r="A301" s="8"/>
      <c r="B301" s="30">
        <v>280</v>
      </c>
      <c r="C301" s="30">
        <v>2.0048193604591384</v>
      </c>
      <c r="D301" s="30">
        <v>2.9826233202504184</v>
      </c>
      <c r="E301" s="30">
        <v>5.4970686928222214E-5</v>
      </c>
      <c r="F301" s="8"/>
      <c r="G301" s="8"/>
      <c r="H301" s="8"/>
      <c r="I301" s="5"/>
      <c r="J301" s="5"/>
      <c r="K301" s="5"/>
      <c r="L301" s="5"/>
      <c r="M301" s="5"/>
    </row>
    <row r="302" spans="1:13" x14ac:dyDescent="0.25">
      <c r="A302" s="8"/>
      <c r="B302" s="30">
        <v>281</v>
      </c>
      <c r="C302" s="30">
        <v>2.0047310678789607</v>
      </c>
      <c r="D302" s="30">
        <v>2.9829416678616885</v>
      </c>
      <c r="E302" s="30">
        <v>5.2974967880373265E-5</v>
      </c>
      <c r="F302" s="8"/>
      <c r="G302" s="8"/>
      <c r="H302" s="8"/>
      <c r="I302" s="5"/>
      <c r="J302" s="5"/>
      <c r="K302" s="5"/>
      <c r="L302" s="5"/>
      <c r="M302" s="5"/>
    </row>
    <row r="303" spans="1:13" x14ac:dyDescent="0.25">
      <c r="A303" s="8"/>
      <c r="B303" s="30">
        <v>282</v>
      </c>
      <c r="C303" s="30">
        <v>2.0046443928535975</v>
      </c>
      <c r="D303" s="30">
        <v>2.9832541832194406</v>
      </c>
      <c r="E303" s="30">
        <v>5.1051703712391225E-5</v>
      </c>
      <c r="F303" s="8"/>
      <c r="G303" s="8"/>
      <c r="H303" s="8"/>
      <c r="I303" s="5"/>
      <c r="J303" s="5"/>
      <c r="K303" s="5"/>
      <c r="L303" s="5"/>
      <c r="M303" s="5"/>
    </row>
    <row r="304" spans="1:13" x14ac:dyDescent="0.25">
      <c r="A304" s="8"/>
      <c r="B304" s="30">
        <v>283</v>
      </c>
      <c r="C304" s="30">
        <v>2.004559305748808</v>
      </c>
      <c r="D304" s="30">
        <v>2.9835609731728541</v>
      </c>
      <c r="E304" s="30">
        <v>4.9198263938982478E-5</v>
      </c>
      <c r="F304" s="8"/>
      <c r="G304" s="8"/>
      <c r="H304" s="8"/>
      <c r="I304" s="5"/>
      <c r="J304" s="5"/>
      <c r="K304" s="5"/>
      <c r="L304" s="5"/>
      <c r="M304" s="5"/>
    </row>
    <row r="305" spans="1:13" x14ac:dyDescent="0.25">
      <c r="A305" s="8"/>
      <c r="B305" s="30">
        <v>284</v>
      </c>
      <c r="C305" s="30">
        <v>2.0044757774732629</v>
      </c>
      <c r="D305" s="30">
        <v>2.9838621426135896</v>
      </c>
      <c r="E305" s="30">
        <v>4.7412113575014071E-5</v>
      </c>
      <c r="F305" s="8"/>
      <c r="G305" s="8"/>
      <c r="H305" s="8"/>
      <c r="I305" s="5"/>
      <c r="J305" s="5"/>
      <c r="K305" s="5"/>
      <c r="L305" s="5"/>
      <c r="M305" s="5"/>
    </row>
    <row r="306" spans="1:13" x14ac:dyDescent="0.25">
      <c r="A306" s="8"/>
      <c r="B306" s="30">
        <v>285</v>
      </c>
      <c r="C306" s="30">
        <v>2.0043937794685971</v>
      </c>
      <c r="D306" s="30">
        <v>2.9841577945116513</v>
      </c>
      <c r="E306" s="30">
        <v>4.5690809668364572E-5</v>
      </c>
      <c r="F306" s="8"/>
      <c r="G306" s="8"/>
      <c r="H306" s="8"/>
      <c r="I306" s="5"/>
      <c r="J306" s="5"/>
      <c r="K306" s="5"/>
      <c r="L306" s="5"/>
      <c r="M306" s="5"/>
    </row>
    <row r="307" spans="1:13" x14ac:dyDescent="0.25">
      <c r="A307" s="8"/>
      <c r="B307" s="30">
        <v>286</v>
      </c>
      <c r="C307" s="30">
        <v>2.0043132836996449</v>
      </c>
      <c r="D307" s="30">
        <v>2.9844480299505927</v>
      </c>
      <c r="E307" s="30">
        <v>4.4031997958661257E-5</v>
      </c>
      <c r="F307" s="8"/>
      <c r="G307" s="8"/>
      <c r="H307" s="8"/>
      <c r="I307" s="5"/>
      <c r="J307" s="5"/>
      <c r="K307" s="5"/>
      <c r="L307" s="5"/>
      <c r="M307" s="5"/>
    </row>
    <row r="308" spans="1:13" x14ac:dyDescent="0.25">
      <c r="A308" s="8"/>
      <c r="B308" s="30">
        <v>287</v>
      </c>
      <c r="C308" s="30">
        <v>2.0042342626448577</v>
      </c>
      <c r="D308" s="30">
        <v>2.9847329481620761</v>
      </c>
      <c r="E308" s="30">
        <v>4.2433409657302863E-5</v>
      </c>
      <c r="F308" s="8"/>
      <c r="G308" s="8"/>
      <c r="H308" s="8"/>
      <c r="I308" s="5"/>
      <c r="J308" s="5"/>
      <c r="K308" s="5"/>
      <c r="L308" s="5"/>
      <c r="M308" s="5"/>
    </row>
    <row r="309" spans="1:13" x14ac:dyDescent="0.25">
      <c r="A309" s="8"/>
      <c r="B309" s="30">
        <v>288</v>
      </c>
      <c r="C309" s="30">
        <v>2.0041566892868916</v>
      </c>
      <c r="D309" s="30">
        <v>2.985012646559801</v>
      </c>
      <c r="E309" s="30">
        <v>4.0892858344394585E-5</v>
      </c>
      <c r="F309" s="8"/>
      <c r="G309" s="8"/>
      <c r="H309" s="8"/>
      <c r="I309" s="5"/>
      <c r="J309" s="5"/>
      <c r="K309" s="5"/>
      <c r="L309" s="5"/>
      <c r="M309" s="5"/>
    </row>
    <row r="310" spans="1:13" x14ac:dyDescent="0.25">
      <c r="A310" s="8"/>
      <c r="B310" s="30">
        <v>289</v>
      </c>
      <c r="C310" s="30">
        <v>2.0040805371033708</v>
      </c>
      <c r="D310" s="30">
        <v>2.9852872207728098</v>
      </c>
      <c r="E310" s="30">
        <v>3.9408236978361426E-5</v>
      </c>
      <c r="F310" s="8"/>
      <c r="G310" s="8"/>
      <c r="H310" s="8"/>
      <c r="I310" s="5"/>
      <c r="J310" s="5"/>
      <c r="K310" s="5"/>
      <c r="L310" s="5"/>
      <c r="M310" s="5"/>
    </row>
    <row r="311" spans="1:13" x14ac:dyDescent="0.25">
      <c r="A311" s="8"/>
      <c r="B311" s="30">
        <v>290</v>
      </c>
      <c r="C311" s="30">
        <v>2.0040057800578199</v>
      </c>
      <c r="D311" s="30">
        <v>2.9855567646781829</v>
      </c>
      <c r="E311" s="30">
        <v>3.7977515014078915E-5</v>
      </c>
      <c r="F311" s="8"/>
      <c r="G311" s="8"/>
      <c r="H311" s="8"/>
      <c r="I311" s="5"/>
      <c r="J311" s="5"/>
      <c r="K311" s="5"/>
      <c r="L311" s="5"/>
      <c r="M311" s="5"/>
    </row>
    <row r="312" spans="1:13" x14ac:dyDescent="0.25">
      <c r="A312" s="8"/>
      <c r="B312" s="30">
        <v>291</v>
      </c>
      <c r="C312" s="30">
        <v>2.0039323925907633</v>
      </c>
      <c r="D312" s="30">
        <v>2.9858213704331358</v>
      </c>
      <c r="E312" s="30">
        <v>3.6598735625661837E-5</v>
      </c>
      <c r="F312" s="8"/>
      <c r="G312" s="8"/>
      <c r="H312" s="8"/>
      <c r="I312" s="5"/>
      <c r="J312" s="5"/>
      <c r="K312" s="5"/>
      <c r="L312" s="5"/>
      <c r="M312" s="5"/>
    </row>
    <row r="313" spans="1:13" x14ac:dyDescent="0.25">
      <c r="A313" s="8"/>
      <c r="B313" s="30">
        <v>292</v>
      </c>
      <c r="C313" s="30">
        <v>2.0038603496109828</v>
      </c>
      <c r="D313" s="30">
        <v>2.9860811285065272</v>
      </c>
      <c r="E313" s="30">
        <v>3.5270013030091044E-5</v>
      </c>
      <c r="F313" s="8"/>
      <c r="G313" s="8"/>
      <c r="H313" s="8"/>
      <c r="I313" s="5"/>
      <c r="J313" s="5"/>
      <c r="K313" s="5"/>
      <c r="L313" s="5"/>
      <c r="M313" s="5"/>
    </row>
    <row r="314" spans="1:13" x14ac:dyDescent="0.25">
      <c r="A314" s="8"/>
      <c r="B314" s="30">
        <v>293</v>
      </c>
      <c r="C314" s="30">
        <v>2.0037896264869435</v>
      </c>
      <c r="D314" s="30">
        <v>2.9863361277097913</v>
      </c>
      <c r="E314" s="30">
        <v>3.3989529907986885E-5</v>
      </c>
      <c r="F314" s="8"/>
      <c r="G314" s="8"/>
      <c r="H314" s="8"/>
      <c r="I314" s="5"/>
      <c r="J314" s="5"/>
      <c r="K314" s="5"/>
      <c r="L314" s="5"/>
      <c r="M314" s="5"/>
    </row>
    <row r="315" spans="1:13" x14ac:dyDescent="0.25">
      <c r="A315" s="8"/>
      <c r="B315" s="30">
        <v>294</v>
      </c>
      <c r="C315" s="30">
        <v>2.0037201990383684</v>
      </c>
      <c r="D315" s="30">
        <v>2.9865864552273016</v>
      </c>
      <c r="E315" s="30">
        <v>3.2755534918013124E-5</v>
      </c>
      <c r="F315" s="8"/>
      <c r="G315" s="8"/>
      <c r="H315" s="8"/>
      <c r="I315" s="5"/>
      <c r="J315" s="5"/>
      <c r="K315" s="5"/>
      <c r="L315" s="5"/>
      <c r="M315" s="5"/>
    </row>
    <row r="316" spans="1:13" x14ac:dyDescent="0.25">
      <c r="A316" s="8"/>
      <c r="B316" s="30">
        <v>295</v>
      </c>
      <c r="C316" s="30">
        <v>2.0036520435279725</v>
      </c>
      <c r="D316" s="30">
        <v>2.9868321966461795</v>
      </c>
      <c r="E316" s="30">
        <v>3.156634030154526E-5</v>
      </c>
      <c r="F316" s="8"/>
      <c r="G316" s="8"/>
      <c r="H316" s="8"/>
      <c r="I316" s="5"/>
      <c r="J316" s="5"/>
      <c r="K316" s="5"/>
      <c r="L316" s="5"/>
      <c r="M316" s="5"/>
    </row>
    <row r="317" spans="1:13" x14ac:dyDescent="0.25">
      <c r="A317" s="8"/>
      <c r="B317" s="30">
        <v>296</v>
      </c>
      <c r="C317" s="30">
        <v>2.0035851366533488</v>
      </c>
      <c r="D317" s="30">
        <v>2.9870734359855571</v>
      </c>
      <c r="E317" s="30">
        <v>3.0420319574295578E-5</v>
      </c>
      <c r="F317" s="8"/>
      <c r="G317" s="8"/>
      <c r="H317" s="8"/>
      <c r="I317" s="5"/>
      <c r="J317" s="5"/>
      <c r="K317" s="5"/>
      <c r="L317" s="5"/>
      <c r="M317" s="5"/>
    </row>
    <row r="318" spans="1:13" x14ac:dyDescent="0.25">
      <c r="A318" s="8"/>
      <c r="B318" s="30">
        <v>297</v>
      </c>
      <c r="C318" s="30">
        <v>2.0035194555389979</v>
      </c>
      <c r="D318" s="30">
        <v>2.9873102557253022</v>
      </c>
      <c r="E318" s="30">
        <v>2.9315905301722946E-5</v>
      </c>
      <c r="F318" s="8"/>
      <c r="G318" s="8"/>
      <c r="H318" s="8"/>
      <c r="I318" s="5"/>
      <c r="J318" s="5"/>
      <c r="K318" s="5"/>
      <c r="L318" s="5"/>
      <c r="M318" s="5"/>
    </row>
    <row r="319" spans="1:13" x14ac:dyDescent="0.25">
      <c r="A319" s="8"/>
      <c r="B319" s="30">
        <v>298</v>
      </c>
      <c r="C319" s="30">
        <v>2.0034549777285098</v>
      </c>
      <c r="D319" s="30">
        <v>2.9875427368342189</v>
      </c>
      <c r="E319" s="30">
        <v>2.8251586955256186E-5</v>
      </c>
      <c r="F319" s="8"/>
      <c r="G319" s="8"/>
      <c r="H319" s="8"/>
      <c r="I319" s="5"/>
      <c r="J319" s="5"/>
      <c r="K319" s="5"/>
      <c r="L319" s="5"/>
      <c r="M319" s="5"/>
    </row>
    <row r="320" spans="1:13" x14ac:dyDescent="0.25">
      <c r="A320" s="8"/>
      <c r="B320" s="30">
        <v>299</v>
      </c>
      <c r="C320" s="30">
        <v>2.003391681176883</v>
      </c>
      <c r="D320" s="30">
        <v>2.9877709587977321</v>
      </c>
      <c r="E320" s="30">
        <v>2.7225908846261044E-5</v>
      </c>
      <c r="F320" s="8"/>
      <c r="G320" s="8"/>
      <c r="H320" s="8"/>
      <c r="I320" s="5"/>
      <c r="J320" s="5"/>
      <c r="K320" s="5"/>
      <c r="L320" s="5"/>
      <c r="M320" s="5"/>
    </row>
    <row r="321" spans="1:13" x14ac:dyDescent="0.25">
      <c r="A321" s="8"/>
      <c r="B321" s="30">
        <v>300</v>
      </c>
      <c r="C321" s="30">
        <v>2.0033295442429919</v>
      </c>
      <c r="D321" s="30">
        <v>2.9879949996450614</v>
      </c>
      <c r="E321" s="30">
        <v>2.6237468135108396E-5</v>
      </c>
      <c r="F321" s="8"/>
      <c r="G321" s="8"/>
      <c r="H321" s="8"/>
      <c r="I321" s="5"/>
      <c r="J321" s="5"/>
      <c r="K321" s="5"/>
      <c r="L321" s="5"/>
      <c r="M321" s="5"/>
    </row>
    <row r="322" spans="1:13" x14ac:dyDescent="0.25">
      <c r="A322" s="8"/>
      <c r="B322" s="30">
        <v>301</v>
      </c>
      <c r="C322" s="30">
        <v>2.0032685456821828</v>
      </c>
      <c r="D322" s="30">
        <v>2.9882149359759005</v>
      </c>
      <c r="E322" s="30">
        <v>2.5284912912489158E-5</v>
      </c>
      <c r="F322" s="8"/>
      <c r="G322" s="8"/>
      <c r="H322" s="8"/>
      <c r="I322" s="5"/>
      <c r="J322" s="5"/>
      <c r="K322" s="5"/>
      <c r="L322" s="5"/>
      <c r="M322" s="5"/>
    </row>
    <row r="323" spans="1:13" x14ac:dyDescent="0.25">
      <c r="A323" s="8"/>
      <c r="B323" s="30">
        <v>302</v>
      </c>
      <c r="C323" s="30">
        <v>2.0032086646390117</v>
      </c>
      <c r="D323" s="30">
        <v>2.9884308429866069</v>
      </c>
      <c r="E323" s="30">
        <v>2.436694035033457E-5</v>
      </c>
      <c r="F323" s="8"/>
      <c r="G323" s="8"/>
      <c r="H323" s="8"/>
      <c r="I323" s="5"/>
      <c r="J323" s="5"/>
      <c r="K323" s="5"/>
      <c r="L323" s="5"/>
      <c r="M323" s="5"/>
    </row>
    <row r="324" spans="1:13" x14ac:dyDescent="0.25">
      <c r="A324" s="8"/>
      <c r="B324" s="30">
        <v>303</v>
      </c>
      <c r="C324" s="30">
        <v>2.0031498806401165</v>
      </c>
      <c r="D324" s="30">
        <v>2.9886427944959113</v>
      </c>
      <c r="E324" s="30">
        <v>2.3482294919969674E-5</v>
      </c>
      <c r="F324" s="8"/>
      <c r="G324" s="8"/>
      <c r="H324" s="8"/>
      <c r="I324" s="5"/>
      <c r="J324" s="5"/>
      <c r="K324" s="5"/>
      <c r="L324" s="5"/>
      <c r="M324" s="5"/>
    </row>
    <row r="325" spans="1:13" x14ac:dyDescent="0.25">
      <c r="A325" s="8"/>
      <c r="B325" s="30">
        <v>304</v>
      </c>
      <c r="C325" s="30">
        <v>2.0030921735872149</v>
      </c>
      <c r="D325" s="30">
        <v>2.9888508629701556</v>
      </c>
      <c r="E325" s="30">
        <v>2.2629766674862627E-5</v>
      </c>
      <c r="F325" s="8"/>
      <c r="G325" s="8"/>
      <c r="H325" s="8"/>
      <c r="I325" s="5"/>
      <c r="J325" s="5"/>
      <c r="K325" s="5"/>
      <c r="L325" s="5"/>
      <c r="M325" s="5"/>
    </row>
    <row r="326" spans="1:13" x14ac:dyDescent="0.25">
      <c r="A326" s="8"/>
      <c r="B326" s="30">
        <v>305</v>
      </c>
      <c r="C326" s="30">
        <v>2.0030355237502318</v>
      </c>
      <c r="D326" s="30">
        <v>2.9890551195480706</v>
      </c>
      <c r="E326" s="30">
        <v>2.1808189595783092E-5</v>
      </c>
      <c r="F326" s="8"/>
      <c r="G326" s="8"/>
      <c r="H326" s="8"/>
      <c r="I326" s="5"/>
      <c r="J326" s="5"/>
      <c r="K326" s="5"/>
      <c r="L326" s="5"/>
      <c r="M326" s="5"/>
    </row>
    <row r="327" spans="1:13" x14ac:dyDescent="0.25">
      <c r="A327" s="8"/>
      <c r="B327" s="30">
        <v>306</v>
      </c>
      <c r="C327" s="30">
        <v>2.0029799117605553</v>
      </c>
      <c r="D327" s="30">
        <v>2.9892556340650969</v>
      </c>
      <c r="E327" s="30">
        <v>2.1016439995995483E-5</v>
      </c>
      <c r="F327" s="8"/>
      <c r="G327" s="8"/>
      <c r="H327" s="8"/>
      <c r="I327" s="5"/>
      <c r="J327" s="5"/>
      <c r="K327" s="5"/>
      <c r="L327" s="5"/>
      <c r="M327" s="5"/>
    </row>
    <row r="328" spans="1:13" x14ac:dyDescent="0.25">
      <c r="A328" s="8"/>
      <c r="B328" s="30">
        <v>307</v>
      </c>
      <c r="C328" s="30">
        <v>2.0029253186044151</v>
      </c>
      <c r="D328" s="30">
        <v>2.9894524750772624</v>
      </c>
      <c r="E328" s="30">
        <v>2.0253434984379968E-5</v>
      </c>
      <c r="F328" s="8"/>
      <c r="G328" s="8"/>
      <c r="H328" s="8"/>
      <c r="I328" s="5"/>
      <c r="J328" s="5"/>
      <c r="K328" s="5"/>
      <c r="L328" s="5"/>
      <c r="M328" s="5"/>
    </row>
    <row r="329" spans="1:13" x14ac:dyDescent="0.25">
      <c r="A329" s="8"/>
      <c r="B329" s="30">
        <v>308</v>
      </c>
      <c r="C329" s="30">
        <v>2.0028717256163797</v>
      </c>
      <c r="D329" s="30">
        <v>2.9896457098846221</v>
      </c>
      <c r="E329" s="30">
        <v>1.9518130984350202E-5</v>
      </c>
      <c r="F329" s="8"/>
      <c r="G329" s="8"/>
      <c r="H329" s="8"/>
      <c r="I329" s="5"/>
      <c r="J329" s="5"/>
      <c r="K329" s="5"/>
      <c r="L329" s="5"/>
      <c r="M329" s="5"/>
    </row>
    <row r="330" spans="1:13" x14ac:dyDescent="0.25">
      <c r="A330" s="8"/>
      <c r="B330" s="30">
        <v>309</v>
      </c>
      <c r="C330" s="30">
        <v>2.0028191144729757</v>
      </c>
      <c r="D330" s="30">
        <v>2.9898354045542672</v>
      </c>
      <c r="E330" s="30">
        <v>1.8809522306515715E-5</v>
      </c>
      <c r="F330" s="8"/>
      <c r="G330" s="8"/>
      <c r="H330" s="8"/>
      <c r="I330" s="5"/>
      <c r="J330" s="5"/>
      <c r="K330" s="5"/>
      <c r="L330" s="5"/>
      <c r="M330" s="5"/>
    </row>
    <row r="331" spans="1:13" x14ac:dyDescent="0.25">
      <c r="A331" s="8"/>
      <c r="B331" s="30">
        <v>310</v>
      </c>
      <c r="C331" s="30">
        <v>2.0027674671864224</v>
      </c>
      <c r="D331" s="30">
        <v>2.9900216239429138</v>
      </c>
      <c r="E331" s="30">
        <v>1.8126639773189787E-5</v>
      </c>
      <c r="F331" s="8"/>
      <c r="G331" s="8"/>
      <c r="H331" s="8"/>
      <c r="I331" s="5"/>
      <c r="J331" s="5"/>
      <c r="K331" s="5"/>
      <c r="L331" s="5"/>
      <c r="M331" s="5"/>
    </row>
    <row r="332" spans="1:13" x14ac:dyDescent="0.25">
      <c r="A332" s="8"/>
      <c r="B332" s="30">
        <v>311</v>
      </c>
      <c r="C332" s="30">
        <v>2.0027167660984833</v>
      </c>
      <c r="D332" s="30">
        <v>2.9902044317190772</v>
      </c>
      <c r="E332" s="30">
        <v>1.7468549392833794E-5</v>
      </c>
      <c r="F332" s="8"/>
      <c r="G332" s="8"/>
      <c r="H332" s="8"/>
      <c r="I332" s="5"/>
      <c r="J332" s="5"/>
      <c r="K332" s="5"/>
      <c r="L332" s="5"/>
      <c r="M332" s="5"/>
    </row>
    <row r="333" spans="1:13" x14ac:dyDescent="0.25">
      <c r="A333" s="8"/>
      <c r="B333" s="30">
        <v>312</v>
      </c>
      <c r="C333" s="30">
        <v>2.0026669938744286</v>
      </c>
      <c r="D333" s="30">
        <v>2.990383890384841</v>
      </c>
      <c r="E333" s="30">
        <v>1.6834351082609862E-5</v>
      </c>
      <c r="F333" s="8"/>
      <c r="G333" s="8"/>
      <c r="H333" s="8"/>
      <c r="I333" s="5"/>
      <c r="J333" s="5"/>
      <c r="K333" s="5"/>
      <c r="L333" s="5"/>
      <c r="M333" s="5"/>
    </row>
    <row r="334" spans="1:13" x14ac:dyDescent="0.25">
      <c r="A334" s="8"/>
      <c r="B334" s="30">
        <v>313</v>
      </c>
      <c r="C334" s="30">
        <v>2.0026181334971049</v>
      </c>
      <c r="D334" s="30">
        <v>2.9905600612972254</v>
      </c>
      <c r="E334" s="30">
        <v>1.6223177437324952E-5</v>
      </c>
      <c r="F334" s="8"/>
      <c r="G334" s="8"/>
      <c r="H334" s="8"/>
      <c r="I334" s="5"/>
      <c r="J334" s="5"/>
      <c r="K334" s="5"/>
      <c r="L334" s="5"/>
      <c r="M334" s="5"/>
    </row>
    <row r="335" spans="1:13" x14ac:dyDescent="0.25">
      <c r="A335" s="8"/>
      <c r="B335" s="30">
        <v>314</v>
      </c>
      <c r="C335" s="30">
        <v>2.0025701682611219</v>
      </c>
      <c r="D335" s="30">
        <v>2.9907330046891665</v>
      </c>
      <c r="E335" s="30">
        <v>1.5634192543056626E-5</v>
      </c>
      <c r="F335" s="8"/>
      <c r="G335" s="8"/>
      <c r="H335" s="8"/>
      <c r="I335" s="5"/>
      <c r="J335" s="5"/>
      <c r="K335" s="5"/>
      <c r="L335" s="5"/>
      <c r="M335" s="5"/>
    </row>
    <row r="336" spans="1:13" x14ac:dyDescent="0.25">
      <c r="A336" s="8"/>
      <c r="B336" s="30">
        <v>315</v>
      </c>
      <c r="C336" s="30">
        <v>2.0025230817671376</v>
      </c>
      <c r="D336" s="30">
        <v>2.9909027796901086</v>
      </c>
      <c r="E336" s="30">
        <v>1.5066590833857235E-5</v>
      </c>
      <c r="F336" s="8"/>
      <c r="G336" s="8"/>
      <c r="H336" s="8"/>
      <c r="I336" s="5"/>
      <c r="J336" s="5"/>
      <c r="K336" s="5"/>
      <c r="L336" s="5"/>
      <c r="M336" s="5"/>
    </row>
    <row r="337" spans="1:13" x14ac:dyDescent="0.25">
      <c r="A337" s="8"/>
      <c r="B337" s="30">
        <v>316</v>
      </c>
      <c r="C337" s="30">
        <v>2.0024768579162537</v>
      </c>
      <c r="D337" s="30">
        <v>2.9910694443462216</v>
      </c>
      <c r="E337" s="30">
        <v>1.4519595989996952E-5</v>
      </c>
      <c r="F337" s="8"/>
      <c r="G337" s="8"/>
      <c r="H337" s="8"/>
      <c r="I337" s="5"/>
      <c r="J337" s="5"/>
      <c r="K337" s="5"/>
      <c r="L337" s="5"/>
      <c r="M337" s="5"/>
    </row>
    <row r="338" spans="1:13" x14ac:dyDescent="0.25">
      <c r="A338" s="8"/>
      <c r="B338" s="30">
        <v>317</v>
      </c>
      <c r="C338" s="30">
        <v>2.0024314809045083</v>
      </c>
      <c r="D338" s="30">
        <v>2.9912330556402469</v>
      </c>
      <c r="E338" s="30">
        <v>1.3992459876123863E-5</v>
      </c>
      <c r="F338" s="8"/>
      <c r="G338" s="8"/>
      <c r="H338" s="8"/>
      <c r="I338" s="5"/>
      <c r="J338" s="5"/>
      <c r="K338" s="5"/>
      <c r="L338" s="5"/>
      <c r="M338" s="5"/>
    </row>
    <row r="339" spans="1:13" x14ac:dyDescent="0.25">
      <c r="A339" s="8"/>
      <c r="B339" s="30">
        <v>318</v>
      </c>
      <c r="C339" s="30">
        <v>2.002386935217475</v>
      </c>
      <c r="D339" s="30">
        <v>2.9913936695109795</v>
      </c>
      <c r="E339" s="30">
        <v>1.3484461518057656E-5</v>
      </c>
      <c r="F339" s="8"/>
      <c r="G339" s="8"/>
      <c r="H339" s="8"/>
      <c r="I339" s="5"/>
      <c r="J339" s="5"/>
      <c r="K339" s="5"/>
      <c r="L339" s="5"/>
      <c r="M339" s="5"/>
    </row>
    <row r="340" spans="1:13" x14ac:dyDescent="0.25">
      <c r="A340" s="8"/>
      <c r="B340" s="30">
        <v>319</v>
      </c>
      <c r="C340" s="30">
        <v>2.0023432056249586</v>
      </c>
      <c r="D340" s="30">
        <v>2.9915513408723942</v>
      </c>
      <c r="E340" s="30">
        <v>1.2994906116707133E-5</v>
      </c>
      <c r="F340" s="8"/>
      <c r="G340" s="8"/>
      <c r="H340" s="8"/>
      <c r="I340" s="5"/>
      <c r="J340" s="5"/>
      <c r="K340" s="5"/>
      <c r="L340" s="5"/>
      <c r="M340" s="5"/>
    </row>
    <row r="341" spans="1:13" x14ac:dyDescent="0.25">
      <c r="A341" s="8"/>
      <c r="B341" s="30">
        <v>320</v>
      </c>
      <c r="C341" s="30">
        <v>2.0023002771757858</v>
      </c>
      <c r="D341" s="30">
        <v>2.9917061236324192</v>
      </c>
      <c r="E341" s="30">
        <v>1.2523124097755037E-5</v>
      </c>
      <c r="F341" s="8"/>
      <c r="G341" s="8"/>
      <c r="H341" s="8"/>
      <c r="I341" s="5"/>
      <c r="J341" s="5"/>
      <c r="K341" s="5"/>
      <c r="L341" s="5"/>
      <c r="M341" s="5"/>
    </row>
    <row r="342" spans="1:13" x14ac:dyDescent="0.25">
      <c r="A342" s="8"/>
      <c r="B342" s="30">
        <v>321</v>
      </c>
      <c r="C342" s="30">
        <v>2.0022581351926956</v>
      </c>
      <c r="D342" s="30">
        <v>2.9918580707113684</v>
      </c>
      <c r="E342" s="30">
        <v>1.2068470195884081E-5</v>
      </c>
      <c r="F342" s="8"/>
      <c r="G342" s="8"/>
      <c r="H342" s="8"/>
      <c r="I342" s="5"/>
      <c r="J342" s="5"/>
      <c r="K342" s="5"/>
      <c r="L342" s="5"/>
      <c r="M342" s="5"/>
    </row>
    <row r="343" spans="1:13" x14ac:dyDescent="0.25">
      <c r="A343" s="8"/>
      <c r="B343" s="30">
        <v>322</v>
      </c>
      <c r="C343" s="30">
        <v>2.00221676526732</v>
      </c>
      <c r="D343" s="30">
        <v>2.9920072340600354</v>
      </c>
      <c r="E343" s="30">
        <v>1.1630322572227459E-5</v>
      </c>
      <c r="F343" s="8"/>
      <c r="G343" s="8"/>
      <c r="H343" s="8"/>
      <c r="I343" s="5"/>
      <c r="J343" s="5"/>
      <c r="K343" s="5"/>
      <c r="L343" s="5"/>
      <c r="M343" s="5"/>
    </row>
    <row r="344" spans="1:13" x14ac:dyDescent="0.25">
      <c r="A344" s="8"/>
      <c r="B344" s="30">
        <v>323</v>
      </c>
      <c r="C344" s="30">
        <v>2.0021761532552578</v>
      </c>
      <c r="D344" s="30">
        <v>2.9921536646774545</v>
      </c>
      <c r="E344" s="30">
        <v>1.1208081963875664E-5</v>
      </c>
      <c r="F344" s="8"/>
      <c r="G344" s="8"/>
      <c r="H344" s="8"/>
      <c r="I344" s="5"/>
      <c r="J344" s="5"/>
      <c r="K344" s="5"/>
      <c r="L344" s="5"/>
      <c r="M344" s="5"/>
    </row>
    <row r="345" spans="1:13" x14ac:dyDescent="0.25">
      <c r="A345" s="8"/>
      <c r="B345" s="30">
        <v>324</v>
      </c>
      <c r="C345" s="30">
        <v>2.0021362852712379</v>
      </c>
      <c r="D345" s="30">
        <v>2.9922974126283375</v>
      </c>
      <c r="E345" s="30">
        <v>1.0801170864248635E-5</v>
      </c>
      <c r="F345" s="8"/>
      <c r="G345" s="8"/>
      <c r="H345" s="8"/>
      <c r="I345" s="5"/>
      <c r="J345" s="5"/>
      <c r="K345" s="5"/>
      <c r="L345" s="5"/>
      <c r="M345" s="5"/>
    </row>
    <row r="346" spans="1:13" x14ac:dyDescent="0.25">
      <c r="A346" s="8"/>
      <c r="B346" s="30">
        <v>325</v>
      </c>
      <c r="C346" s="30">
        <v>2.002097147684375</v>
      </c>
      <c r="D346" s="30">
        <v>2.9924385270601914</v>
      </c>
      <c r="E346" s="30">
        <v>1.0409032733226021E-5</v>
      </c>
      <c r="F346" s="8"/>
      <c r="G346" s="8"/>
      <c r="H346" s="8"/>
      <c r="I346" s="5"/>
      <c r="J346" s="5"/>
      <c r="K346" s="5"/>
      <c r="L346" s="5"/>
      <c r="M346" s="5"/>
    </row>
    <row r="347" spans="1:13" x14ac:dyDescent="0.25">
      <c r="A347" s="8"/>
      <c r="B347" s="30">
        <v>326</v>
      </c>
      <c r="C347" s="30">
        <v>2.0020587271135053</v>
      </c>
      <c r="D347" s="30">
        <v>2.9925770562201208</v>
      </c>
      <c r="E347" s="30">
        <v>1.0031131235970795E-5</v>
      </c>
      <c r="F347" s="8"/>
      <c r="G347" s="8"/>
      <c r="H347" s="8"/>
      <c r="I347" s="5"/>
      <c r="J347" s="5"/>
      <c r="K347" s="5"/>
      <c r="L347" s="5"/>
      <c r="M347" s="5"/>
    </row>
    <row r="348" spans="1:13" x14ac:dyDescent="0.25">
      <c r="A348" s="8"/>
      <c r="B348" s="30">
        <v>327</v>
      </c>
      <c r="C348" s="30">
        <v>2.002021010422613</v>
      </c>
      <c r="D348" s="30">
        <v>2.9927130474713248</v>
      </c>
      <c r="E348" s="30">
        <v>9.666949509347594E-6</v>
      </c>
      <c r="F348" s="8"/>
      <c r="G348" s="8"/>
      <c r="H348" s="8"/>
      <c r="I348" s="5"/>
      <c r="J348" s="5"/>
      <c r="K348" s="5"/>
      <c r="L348" s="5"/>
      <c r="M348" s="5"/>
    </row>
    <row r="349" spans="1:13" x14ac:dyDescent="0.25">
      <c r="A349" s="8"/>
      <c r="B349" s="30">
        <v>328</v>
      </c>
      <c r="C349" s="30">
        <v>2.0019839847163414</v>
      </c>
      <c r="D349" s="30">
        <v>2.99284654730929</v>
      </c>
      <c r="E349" s="30">
        <v>9.3159894550267059E-6</v>
      </c>
      <c r="F349" s="8"/>
      <c r="G349" s="8"/>
      <c r="H349" s="8"/>
      <c r="I349" s="5"/>
      <c r="J349" s="5"/>
      <c r="K349" s="5"/>
      <c r="L349" s="5"/>
      <c r="M349" s="5"/>
    </row>
    <row r="350" spans="1:13" x14ac:dyDescent="0.25">
      <c r="A350" s="8"/>
      <c r="B350" s="30">
        <v>329</v>
      </c>
      <c r="C350" s="30">
        <v>2.0019476373355789</v>
      </c>
      <c r="D350" s="30">
        <v>2.9929776013776874</v>
      </c>
      <c r="E350" s="30">
        <v>8.9777710582041126E-6</v>
      </c>
      <c r="F350" s="8"/>
      <c r="G350" s="8"/>
      <c r="H350" s="8"/>
      <c r="I350" s="5"/>
      <c r="J350" s="5"/>
      <c r="K350" s="5"/>
      <c r="L350" s="5"/>
      <c r="M350" s="5"/>
    </row>
    <row r="351" spans="1:13" x14ac:dyDescent="0.25">
      <c r="A351" s="8"/>
      <c r="B351" s="30">
        <v>330</v>
      </c>
      <c r="C351" s="30">
        <v>2.001911955853136</v>
      </c>
      <c r="D351" s="30">
        <v>2.9931062544839779</v>
      </c>
      <c r="E351" s="30">
        <v>8.6518317310942272E-6</v>
      </c>
      <c r="F351" s="8"/>
      <c r="G351" s="8"/>
      <c r="H351" s="8"/>
      <c r="I351" s="5"/>
      <c r="J351" s="5"/>
      <c r="K351" s="5"/>
      <c r="L351" s="5"/>
      <c r="M351" s="5"/>
    </row>
    <row r="352" spans="1:13" x14ac:dyDescent="0.25">
      <c r="A352" s="8"/>
      <c r="B352" s="30">
        <v>331</v>
      </c>
      <c r="C352" s="30">
        <v>2.001876928069493</v>
      </c>
      <c r="D352" s="30">
        <v>2.9932325506147324</v>
      </c>
      <c r="E352" s="30">
        <v>8.3377256802246397E-6</v>
      </c>
      <c r="F352" s="8"/>
      <c r="G352" s="8"/>
      <c r="H352" s="8"/>
      <c r="I352" s="5"/>
      <c r="J352" s="5"/>
      <c r="K352" s="5"/>
      <c r="L352" s="5"/>
      <c r="M352" s="5"/>
    </row>
    <row r="353" spans="1:13" x14ac:dyDescent="0.25">
      <c r="A353" s="8"/>
      <c r="B353" s="30">
        <v>332</v>
      </c>
      <c r="C353" s="30">
        <v>2.0018425420086308</v>
      </c>
      <c r="D353" s="30">
        <v>2.9933565329506697</v>
      </c>
      <c r="E353" s="30">
        <v>8.0350232967273912E-6</v>
      </c>
      <c r="F353" s="8"/>
      <c r="G353" s="8"/>
      <c r="H353" s="8"/>
      <c r="I353" s="5"/>
      <c r="J353" s="5"/>
      <c r="K353" s="5"/>
      <c r="L353" s="5"/>
      <c r="M353" s="5"/>
    </row>
    <row r="354" spans="1:13" x14ac:dyDescent="0.25">
      <c r="A354" s="8"/>
      <c r="B354" s="30">
        <v>333</v>
      </c>
      <c r="C354" s="30">
        <v>2.0018087859139357</v>
      </c>
      <c r="D354" s="30">
        <v>2.9934782438814218</v>
      </c>
      <c r="E354" s="30">
        <v>7.7433105687356425E-6</v>
      </c>
      <c r="F354" s="8"/>
      <c r="G354" s="8"/>
      <c r="H354" s="8"/>
      <c r="I354" s="5"/>
      <c r="J354" s="5"/>
      <c r="K354" s="5"/>
      <c r="L354" s="5"/>
      <c r="M354" s="5"/>
    </row>
    <row r="355" spans="1:13" x14ac:dyDescent="0.25">
      <c r="A355" s="8"/>
      <c r="B355" s="30">
        <v>334</v>
      </c>
      <c r="C355" s="30">
        <v>2.00177564824418</v>
      </c>
      <c r="D355" s="30">
        <v>2.9935977250200256</v>
      </c>
      <c r="E355" s="30">
        <v>7.462188515166078E-6</v>
      </c>
      <c r="F355" s="8"/>
      <c r="G355" s="8"/>
      <c r="H355" s="8"/>
      <c r="I355" s="5"/>
      <c r="J355" s="5"/>
      <c r="K355" s="5"/>
      <c r="L355" s="5"/>
      <c r="M355" s="5"/>
    </row>
    <row r="356" spans="1:13" x14ac:dyDescent="0.25">
      <c r="A356" s="8"/>
      <c r="B356" s="30">
        <v>335</v>
      </c>
      <c r="C356" s="30">
        <v>2.0017431176695744</v>
      </c>
      <c r="D356" s="30">
        <v>2.9937150172171507</v>
      </c>
      <c r="E356" s="30">
        <v>7.1912726399861806E-6</v>
      </c>
      <c r="F356" s="8"/>
      <c r="G356" s="8"/>
      <c r="H356" s="8"/>
      <c r="I356" s="5"/>
      <c r="J356" s="5"/>
      <c r="K356" s="5"/>
      <c r="L356" s="5"/>
      <c r="M356" s="5"/>
    </row>
    <row r="357" spans="1:13" x14ac:dyDescent="0.25">
      <c r="A357" s="8"/>
      <c r="B357" s="30">
        <v>336</v>
      </c>
      <c r="C357" s="30">
        <v>2.0017111830678975</v>
      </c>
      <c r="D357" s="30">
        <v>2.9938301605750666</v>
      </c>
      <c r="E357" s="30">
        <v>6.9301924063580357E-6</v>
      </c>
      <c r="F357" s="8"/>
      <c r="G357" s="8"/>
      <c r="H357" s="8"/>
      <c r="I357" s="5"/>
      <c r="J357" s="5"/>
      <c r="K357" s="5"/>
      <c r="L357" s="5"/>
      <c r="M357" s="5"/>
    </row>
    <row r="358" spans="1:13" x14ac:dyDescent="0.25">
      <c r="A358" s="8"/>
      <c r="B358" s="30">
        <v>337</v>
      </c>
      <c r="C358" s="30">
        <v>2.00167983352069</v>
      </c>
      <c r="D358" s="30">
        <v>2.993943194461353</v>
      </c>
      <c r="E358" s="30">
        <v>6.6785907298348709E-6</v>
      </c>
      <c r="F358" s="8"/>
      <c r="G358" s="8"/>
      <c r="H358" s="8"/>
      <c r="I358" s="5"/>
      <c r="J358" s="5"/>
      <c r="K358" s="5"/>
      <c r="L358" s="5"/>
      <c r="M358" s="5"/>
    </row>
    <row r="359" spans="1:13" x14ac:dyDescent="0.25">
      <c r="A359" s="8"/>
      <c r="B359" s="30">
        <v>338</v>
      </c>
      <c r="C359" s="30">
        <v>2.0016490583095248</v>
      </c>
      <c r="D359" s="30">
        <v>2.9940541575223603</v>
      </c>
      <c r="E359" s="30">
        <v>6.4361234899826277E-6</v>
      </c>
      <c r="F359" s="8"/>
      <c r="G359" s="8"/>
      <c r="H359" s="8"/>
      <c r="I359" s="5"/>
      <c r="J359" s="5"/>
      <c r="K359" s="5"/>
      <c r="L359" s="5"/>
      <c r="M359" s="5"/>
    </row>
    <row r="360" spans="1:13" x14ac:dyDescent="0.25">
      <c r="A360" s="8"/>
      <c r="B360" s="30">
        <v>339</v>
      </c>
      <c r="C360" s="30">
        <v>2.0016188469123395</v>
      </c>
      <c r="D360" s="30">
        <v>2.9941630876964225</v>
      </c>
      <c r="E360" s="30">
        <v>6.20245905970103E-6</v>
      </c>
      <c r="F360" s="8"/>
      <c r="G360" s="8"/>
      <c r="H360" s="8"/>
      <c r="I360" s="5"/>
      <c r="J360" s="5"/>
      <c r="K360" s="5"/>
      <c r="L360" s="5"/>
      <c r="M360" s="5"/>
    </row>
    <row r="361" spans="1:13" x14ac:dyDescent="0.25">
      <c r="A361" s="8"/>
      <c r="B361" s="30">
        <v>340</v>
      </c>
      <c r="C361" s="30">
        <v>2.0015891889998394</v>
      </c>
      <c r="D361" s="30">
        <v>2.9942700222268286</v>
      </c>
      <c r="E361" s="30">
        <v>5.9772778516650502E-6</v>
      </c>
      <c r="F361" s="8"/>
      <c r="G361" s="8"/>
      <c r="H361" s="8"/>
      <c r="I361" s="5"/>
      <c r="J361" s="5"/>
      <c r="K361" s="5"/>
      <c r="L361" s="5"/>
      <c r="M361" s="5"/>
    </row>
    <row r="362" spans="1:13" x14ac:dyDescent="0.25">
      <c r="A362" s="8"/>
      <c r="B362" s="30">
        <v>341</v>
      </c>
      <c r="C362" s="30">
        <v>2.0015600744319677</v>
      </c>
      <c r="D362" s="30">
        <v>2.9943749976745555</v>
      </c>
      <c r="E362" s="30">
        <v>5.7602718812207068E-6</v>
      </c>
      <c r="F362" s="8"/>
      <c r="G362" s="8"/>
      <c r="H362" s="8"/>
      <c r="I362" s="5"/>
      <c r="J362" s="5"/>
      <c r="K362" s="5"/>
      <c r="L362" s="5"/>
      <c r="M362" s="5"/>
    </row>
    <row r="363" spans="1:13" x14ac:dyDescent="0.25">
      <c r="A363" s="8"/>
      <c r="B363" s="30">
        <v>342</v>
      </c>
      <c r="C363" s="30">
        <v>2.0015314932544368</v>
      </c>
      <c r="D363" s="30">
        <v>2.9944780499307688</v>
      </c>
      <c r="E363" s="30">
        <v>5.5511443451337189E-6</v>
      </c>
      <c r="F363" s="8"/>
      <c r="G363" s="8"/>
      <c r="H363" s="8"/>
      <c r="I363" s="5"/>
      <c r="J363" s="5"/>
      <c r="K363" s="5"/>
      <c r="L363" s="5"/>
      <c r="M363" s="5"/>
    </row>
    <row r="364" spans="1:13" x14ac:dyDescent="0.25">
      <c r="A364" s="8"/>
      <c r="B364" s="30">
        <v>343</v>
      </c>
      <c r="C364" s="30">
        <v>2.0015034356953261</v>
      </c>
      <c r="D364" s="30">
        <v>2.9945792142290943</v>
      </c>
      <c r="E364" s="30">
        <v>5.3496092156696588E-6</v>
      </c>
      <c r="F364" s="8"/>
      <c r="G364" s="8"/>
      <c r="H364" s="8"/>
      <c r="I364" s="5"/>
      <c r="J364" s="5"/>
      <c r="K364" s="5"/>
      <c r="L364" s="5"/>
      <c r="M364" s="5"/>
    </row>
    <row r="365" spans="1:13" x14ac:dyDescent="0.25">
      <c r="A365" s="8"/>
      <c r="B365" s="30">
        <v>344</v>
      </c>
      <c r="C365" s="30">
        <v>2.0014758921617388</v>
      </c>
      <c r="D365" s="30">
        <v>2.9946785251576631</v>
      </c>
      <c r="E365" s="30">
        <v>5.1553908493566559E-6</v>
      </c>
      <c r="F365" s="8"/>
      <c r="G365" s="8"/>
      <c r="H365" s="8"/>
      <c r="I365" s="5"/>
      <c r="J365" s="5"/>
      <c r="K365" s="5"/>
      <c r="L365" s="5"/>
      <c r="M365" s="5"/>
    </row>
    <row r="366" spans="1:13" x14ac:dyDescent="0.25">
      <c r="A366" s="8"/>
      <c r="B366" s="30">
        <v>345</v>
      </c>
      <c r="C366" s="30">
        <v>2.0014488532365271</v>
      </c>
      <c r="D366" s="30">
        <v>2.9947760166709387</v>
      </c>
      <c r="E366" s="30">
        <v>4.9682236100101983E-6</v>
      </c>
      <c r="F366" s="8"/>
      <c r="G366" s="8"/>
      <c r="H366" s="8"/>
      <c r="I366" s="5"/>
      <c r="J366" s="5"/>
      <c r="K366" s="5"/>
      <c r="L366" s="5"/>
      <c r="M366" s="5"/>
    </row>
    <row r="367" spans="1:13" x14ac:dyDescent="0.25">
      <c r="A367" s="8"/>
      <c r="B367" s="30">
        <v>346</v>
      </c>
      <c r="C367" s="30">
        <v>2.0014223096750658</v>
      </c>
      <c r="D367" s="30">
        <v>2.9948717221013252</v>
      </c>
      <c r="E367" s="30">
        <v>4.7878515054121053E-6</v>
      </c>
      <c r="F367" s="8"/>
      <c r="G367" s="8"/>
      <c r="H367" s="8"/>
      <c r="I367" s="5"/>
      <c r="J367" s="5"/>
      <c r="K367" s="5"/>
      <c r="L367" s="5"/>
      <c r="M367" s="5"/>
    </row>
    <row r="368" spans="1:13" x14ac:dyDescent="0.25">
      <c r="A368" s="8"/>
      <c r="B368" s="30">
        <v>347</v>
      </c>
      <c r="C368" s="30">
        <v>2.0013962524020958</v>
      </c>
      <c r="D368" s="30">
        <v>2.9949656741705639</v>
      </c>
      <c r="E368" s="30">
        <v>4.6140278371689749E-6</v>
      </c>
      <c r="F368" s="8"/>
      <c r="G368" s="8"/>
      <c r="H368" s="8"/>
      <c r="I368" s="5"/>
      <c r="J368" s="5"/>
      <c r="K368" s="5"/>
      <c r="L368" s="5"/>
      <c r="M368" s="5"/>
    </row>
    <row r="369" spans="1:13" x14ac:dyDescent="0.25">
      <c r="A369" s="8"/>
      <c r="B369" s="30">
        <v>348</v>
      </c>
      <c r="C369" s="30">
        <v>2.0013706725086213</v>
      </c>
      <c r="D369" s="30">
        <v>2.995057905000921</v>
      </c>
      <c r="E369" s="30">
        <v>4.4465148633198692E-6</v>
      </c>
      <c r="F369" s="8"/>
      <c r="G369" s="8"/>
      <c r="H369" s="8"/>
      <c r="I369" s="5"/>
      <c r="J369" s="5"/>
      <c r="K369" s="5"/>
      <c r="L369" s="5"/>
      <c r="M369" s="5"/>
    </row>
    <row r="370" spans="1:13" x14ac:dyDescent="0.25">
      <c r="A370" s="8"/>
      <c r="B370" s="30">
        <v>349</v>
      </c>
      <c r="C370" s="30">
        <v>2.0013455612488613</v>
      </c>
      <c r="D370" s="30">
        <v>2.9951484461261706</v>
      </c>
      <c r="E370" s="30">
        <v>4.2850834731507536E-6</v>
      </c>
      <c r="F370" s="8"/>
      <c r="G370" s="8"/>
      <c r="H370" s="8"/>
      <c r="I370" s="5"/>
      <c r="J370" s="5"/>
      <c r="K370" s="5"/>
      <c r="L370" s="5"/>
      <c r="M370" s="5"/>
    </row>
    <row r="371" spans="1:13" x14ac:dyDescent="0.25">
      <c r="A371" s="8"/>
      <c r="B371" s="30">
        <v>350</v>
      </c>
      <c r="C371" s="30">
        <v>2.0013209100372626</v>
      </c>
      <c r="D371" s="30">
        <v>2.9952373285023746</v>
      </c>
      <c r="E371" s="30">
        <v>4.129512873859151E-6</v>
      </c>
      <c r="F371" s="8"/>
      <c r="G371" s="8"/>
      <c r="H371" s="8"/>
      <c r="I371" s="5"/>
      <c r="J371" s="5"/>
      <c r="K371" s="5"/>
      <c r="L371" s="5"/>
      <c r="M371" s="5"/>
    </row>
    <row r="372" spans="1:13" x14ac:dyDescent="0.25">
      <c r="A372" s="8"/>
      <c r="B372" s="30">
        <v>351</v>
      </c>
      <c r="C372" s="30">
        <v>2.0012967104455615</v>
      </c>
      <c r="D372" s="30">
        <v>2.9953245825184687</v>
      </c>
      <c r="E372" s="30">
        <v>3.9795902885460859E-6</v>
      </c>
      <c r="F372" s="8"/>
      <c r="G372" s="8"/>
      <c r="H372" s="8"/>
      <c r="I372" s="5"/>
      <c r="J372" s="5"/>
      <c r="K372" s="5"/>
      <c r="L372" s="5"/>
      <c r="M372" s="5"/>
    </row>
    <row r="373" spans="1:13" x14ac:dyDescent="0.25">
      <c r="A373" s="8"/>
      <c r="B373" s="30">
        <v>352</v>
      </c>
      <c r="C373" s="30">
        <v>2.0012729541999033</v>
      </c>
      <c r="D373" s="30">
        <v>2.995410238006651</v>
      </c>
      <c r="E373" s="30">
        <v>3.8351106652167582E-6</v>
      </c>
      <c r="F373" s="8"/>
      <c r="G373" s="8"/>
      <c r="H373" s="8"/>
      <c r="I373" s="5"/>
      <c r="J373" s="5"/>
      <c r="K373" s="5"/>
      <c r="L373" s="5"/>
      <c r="M373" s="5"/>
    </row>
    <row r="374" spans="1:13" x14ac:dyDescent="0.25">
      <c r="A374" s="8"/>
      <c r="B374" s="30">
        <v>353</v>
      </c>
      <c r="C374" s="30">
        <v>2.0012496331780145</v>
      </c>
      <c r="D374" s="30">
        <v>2.9954943242525816</v>
      </c>
      <c r="E374" s="30">
        <v>3.6958763963200433E-6</v>
      </c>
      <c r="F374" s="8"/>
      <c r="G374" s="8"/>
      <c r="H374" s="8"/>
      <c r="I374" s="5"/>
      <c r="J374" s="5"/>
      <c r="K374" s="5"/>
      <c r="L374" s="5"/>
      <c r="M374" s="5"/>
    </row>
    <row r="375" spans="1:13" x14ac:dyDescent="0.25">
      <c r="A375" s="8"/>
      <c r="B375" s="30">
        <v>354</v>
      </c>
      <c r="C375" s="30">
        <v>2.001226739406424</v>
      </c>
      <c r="D375" s="30">
        <v>2.9955768700053964</v>
      </c>
      <c r="E375" s="30">
        <v>3.5616970484735418E-6</v>
      </c>
      <c r="F375" s="8"/>
      <c r="G375" s="8"/>
      <c r="H375" s="8"/>
      <c r="I375" s="5"/>
      <c r="J375" s="5"/>
      <c r="K375" s="5"/>
      <c r="L375" s="5"/>
      <c r="M375" s="5"/>
    </row>
    <row r="376" spans="1:13" x14ac:dyDescent="0.25">
      <c r="A376" s="8"/>
      <c r="B376" s="30">
        <v>355</v>
      </c>
      <c r="C376" s="30">
        <v>2.0012042650577384</v>
      </c>
      <c r="D376" s="30">
        <v>2.995657903487535</v>
      </c>
      <c r="E376" s="30">
        <v>3.4323891020107357E-6</v>
      </c>
      <c r="F376" s="8"/>
      <c r="G376" s="8"/>
      <c r="H376" s="8"/>
      <c r="I376" s="5"/>
      <c r="J376" s="5"/>
      <c r="K376" s="5"/>
      <c r="L376" s="5"/>
      <c r="M376" s="5"/>
    </row>
    <row r="377" spans="1:13" x14ac:dyDescent="0.25">
      <c r="A377" s="8"/>
      <c r="B377" s="30">
        <v>356</v>
      </c>
      <c r="C377" s="30">
        <v>2.0011822024479655</v>
      </c>
      <c r="D377" s="30">
        <v>2.9957374524043918</v>
      </c>
      <c r="E377" s="30">
        <v>3.3077756999720668E-6</v>
      </c>
      <c r="F377" s="8"/>
      <c r="G377" s="8"/>
      <c r="H377" s="8"/>
      <c r="I377" s="5"/>
      <c r="J377" s="5"/>
      <c r="K377" s="5"/>
      <c r="L377" s="5"/>
      <c r="M377" s="5"/>
    </row>
    <row r="378" spans="1:13" x14ac:dyDescent="0.25">
      <c r="A378" s="8"/>
      <c r="B378" s="30">
        <v>357</v>
      </c>
      <c r="C378" s="30">
        <v>2.001160544033886</v>
      </c>
      <c r="D378" s="30">
        <v>2.9958155439537868</v>
      </c>
      <c r="E378" s="30">
        <v>3.1876864062181843E-6</v>
      </c>
      <c r="F378" s="8"/>
      <c r="G378" s="8"/>
      <c r="H378" s="8"/>
      <c r="I378" s="5"/>
      <c r="J378" s="5"/>
      <c r="K378" s="5"/>
      <c r="L378" s="5"/>
      <c r="M378" s="5"/>
    </row>
    <row r="379" spans="1:13" x14ac:dyDescent="0.25">
      <c r="A379" s="8"/>
      <c r="B379" s="30">
        <v>358</v>
      </c>
      <c r="C379" s="30">
        <v>2.0011392824104752</v>
      </c>
      <c r="D379" s="30">
        <v>2.9958922048352656</v>
      </c>
      <c r="E379" s="30">
        <v>3.0719569723141812E-6</v>
      </c>
      <c r="F379" s="8"/>
      <c r="G379" s="8"/>
      <c r="H379" s="8"/>
      <c r="I379" s="5"/>
      <c r="J379" s="5"/>
      <c r="K379" s="5"/>
      <c r="L379" s="5"/>
      <c r="M379" s="5"/>
    </row>
    <row r="380" spans="1:13" x14ac:dyDescent="0.25">
      <c r="A380" s="8"/>
      <c r="B380" s="30">
        <v>359</v>
      </c>
      <c r="C380" s="30">
        <v>2.001118410308373</v>
      </c>
      <c r="D380" s="30">
        <v>2.9959674612592271</v>
      </c>
      <c r="E380" s="30">
        <v>2.9604291128946339E-6</v>
      </c>
      <c r="F380" s="8"/>
      <c r="G380" s="8"/>
      <c r="H380" s="8"/>
      <c r="I380" s="5"/>
      <c r="J380" s="5"/>
      <c r="K380" s="5"/>
      <c r="L380" s="5"/>
      <c r="M380" s="5"/>
    </row>
    <row r="381" spans="1:13" x14ac:dyDescent="0.25">
      <c r="A381" s="8"/>
      <c r="B381" s="30">
        <v>360</v>
      </c>
      <c r="C381" s="30">
        <v>2.0010979205913948</v>
      </c>
      <c r="D381" s="30">
        <v>2.996041338955886</v>
      </c>
      <c r="E381" s="30">
        <v>2.8529502891709457E-6</v>
      </c>
      <c r="F381" s="8"/>
      <c r="G381" s="8"/>
      <c r="H381" s="8"/>
      <c r="I381" s="5"/>
      <c r="J381" s="5"/>
      <c r="K381" s="5"/>
      <c r="L381" s="5"/>
      <c r="M381" s="5"/>
    </row>
    <row r="382" spans="1:13" x14ac:dyDescent="0.25">
      <c r="A382" s="8"/>
      <c r="B382" s="30">
        <v>361</v>
      </c>
      <c r="C382" s="30">
        <v>2.001077806254095</v>
      </c>
      <c r="D382" s="30">
        <v>2.9961138631840689</v>
      </c>
      <c r="E382" s="30">
        <v>2.7493735002875604E-6</v>
      </c>
      <c r="F382" s="8"/>
      <c r="G382" s="8"/>
      <c r="H382" s="8"/>
      <c r="I382" s="5"/>
      <c r="J382" s="5"/>
      <c r="K382" s="5"/>
      <c r="L382" s="5"/>
      <c r="M382" s="5"/>
    </row>
    <row r="383" spans="1:13" x14ac:dyDescent="0.25">
      <c r="A383" s="8"/>
      <c r="B383" s="30">
        <v>362</v>
      </c>
      <c r="C383" s="30">
        <v>2.0010580604193695</v>
      </c>
      <c r="D383" s="30">
        <v>2.9961850587398513</v>
      </c>
      <c r="E383" s="30">
        <v>2.6495570822878506E-6</v>
      </c>
      <c r="F383" s="8"/>
      <c r="G383" s="8"/>
      <c r="H383" s="8"/>
      <c r="I383" s="5"/>
      <c r="J383" s="5"/>
      <c r="K383" s="5"/>
      <c r="L383" s="5"/>
      <c r="M383" s="5"/>
    </row>
    <row r="384" spans="1:13" x14ac:dyDescent="0.25">
      <c r="A384" s="8"/>
      <c r="B384" s="30">
        <v>363</v>
      </c>
      <c r="C384" s="30">
        <v>2.0010386763361079</v>
      </c>
      <c r="D384" s="30">
        <v>2.9962549499650337</v>
      </c>
      <c r="E384" s="30">
        <v>2.553364514339394E-6</v>
      </c>
      <c r="F384" s="8"/>
      <c r="G384" s="8"/>
      <c r="H384" s="8"/>
      <c r="I384" s="5"/>
      <c r="J384" s="5"/>
      <c r="K384" s="5"/>
      <c r="L384" s="5"/>
      <c r="M384" s="5"/>
    </row>
    <row r="385" spans="1:13" x14ac:dyDescent="0.25">
      <c r="A385" s="8"/>
      <c r="B385" s="30">
        <v>364</v>
      </c>
      <c r="C385" s="30">
        <v>2.0010196473768791</v>
      </c>
      <c r="D385" s="30">
        <v>2.9963235607554668</v>
      </c>
      <c r="E385" s="30">
        <v>2.4606642320227698E-6</v>
      </c>
      <c r="F385" s="8"/>
      <c r="G385" s="8"/>
      <c r="H385" s="8"/>
      <c r="I385" s="5"/>
      <c r="J385" s="5"/>
      <c r="K385" s="5"/>
      <c r="L385" s="5"/>
      <c r="M385" s="5"/>
    </row>
    <row r="386" spans="1:13" x14ac:dyDescent="0.25">
      <c r="A386" s="8"/>
      <c r="B386" s="30">
        <v>365</v>
      </c>
      <c r="C386" s="30">
        <v>2.0010009670356719</v>
      </c>
      <c r="D386" s="30">
        <v>2.9963909145692185</v>
      </c>
      <c r="E386" s="30">
        <v>2.3713294473829049E-6</v>
      </c>
      <c r="F386" s="8"/>
      <c r="G386" s="8"/>
      <c r="H386" s="8"/>
      <c r="I386" s="5"/>
      <c r="J386" s="5"/>
      <c r="K386" s="5"/>
      <c r="L386" s="5"/>
      <c r="M386" s="5"/>
    </row>
    <row r="387" spans="1:13" x14ac:dyDescent="0.25">
      <c r="A387" s="8"/>
      <c r="B387" s="30">
        <v>366</v>
      </c>
      <c r="C387" s="30">
        <v>2.0009826289256671</v>
      </c>
      <c r="D387" s="30">
        <v>2.9964570344345964</v>
      </c>
      <c r="E387" s="30">
        <v>2.2852379755225176E-6</v>
      </c>
      <c r="F387" s="8"/>
      <c r="G387" s="8"/>
      <c r="H387" s="8"/>
      <c r="I387" s="5"/>
      <c r="J387" s="5"/>
      <c r="K387" s="5"/>
      <c r="L387" s="5"/>
      <c r="M387" s="5"/>
    </row>
    <row r="388" spans="1:13" x14ac:dyDescent="0.25">
      <c r="A388" s="8"/>
      <c r="B388" s="30">
        <v>367</v>
      </c>
      <c r="C388" s="30">
        <v>2.0009646267770544</v>
      </c>
      <c r="D388" s="30">
        <v>2.9965219429580205</v>
      </c>
      <c r="E388" s="30">
        <v>2.2022720674807281E-6</v>
      </c>
      <c r="F388" s="8"/>
      <c r="G388" s="8"/>
      <c r="H388" s="8"/>
      <c r="I388" s="5"/>
      <c r="J388" s="5"/>
      <c r="K388" s="5"/>
      <c r="L388" s="5"/>
      <c r="M388" s="5"/>
    </row>
    <row r="389" spans="1:13" x14ac:dyDescent="0.25">
      <c r="A389" s="8"/>
      <c r="B389" s="30">
        <v>368</v>
      </c>
      <c r="C389" s="30">
        <v>2.0009469544348883</v>
      </c>
      <c r="D389" s="30">
        <v>2.9965856623317522</v>
      </c>
      <c r="E389" s="30">
        <v>2.1223182491950683E-6</v>
      </c>
      <c r="F389" s="8"/>
      <c r="G389" s="8"/>
      <c r="H389" s="8"/>
      <c r="I389" s="5"/>
      <c r="J389" s="5"/>
      <c r="K389" s="5"/>
      <c r="L389" s="5"/>
      <c r="M389" s="5"/>
    </row>
    <row r="390" spans="1:13" x14ac:dyDescent="0.25">
      <c r="A390" s="8"/>
      <c r="B390" s="30">
        <v>369</v>
      </c>
      <c r="C390" s="30">
        <v>2.0009296058569856</v>
      </c>
      <c r="D390" s="30">
        <v>2.9966482143414814</v>
      </c>
      <c r="E390" s="30">
        <v>2.0452671662969662E-6</v>
      </c>
      <c r="F390" s="8"/>
      <c r="G390" s="8"/>
      <c r="H390" s="8"/>
      <c r="I390" s="5"/>
      <c r="J390" s="5"/>
      <c r="K390" s="5"/>
      <c r="L390" s="5"/>
      <c r="M390" s="5"/>
    </row>
    <row r="391" spans="1:13" x14ac:dyDescent="0.25">
      <c r="A391" s="8"/>
      <c r="B391" s="30">
        <v>370</v>
      </c>
      <c r="C391" s="30">
        <v>2.0009125751118568</v>
      </c>
      <c r="D391" s="30">
        <v>2.9967096203737764</v>
      </c>
      <c r="E391" s="30">
        <v>1.9710134345383827E-6</v>
      </c>
      <c r="F391" s="8"/>
      <c r="G391" s="8"/>
      <c r="H391" s="8"/>
      <c r="I391" s="5"/>
      <c r="J391" s="5"/>
      <c r="K391" s="5"/>
      <c r="L391" s="5"/>
      <c r="M391" s="5"/>
    </row>
    <row r="392" spans="1:13" x14ac:dyDescent="0.25">
      <c r="A392" s="8"/>
      <c r="B392" s="30">
        <v>371</v>
      </c>
      <c r="C392" s="30">
        <v>2.0008958563766814</v>
      </c>
      <c r="D392" s="30">
        <v>2.9967699014233942</v>
      </c>
      <c r="E392" s="30">
        <v>1.8994554956678114E-6</v>
      </c>
      <c r="F392" s="8"/>
      <c r="G392" s="8"/>
      <c r="H392" s="8"/>
      <c r="I392" s="5"/>
      <c r="J392" s="5"/>
      <c r="K392" s="5"/>
      <c r="L392" s="5"/>
      <c r="M392" s="5"/>
    </row>
    <row r="393" spans="1:13" x14ac:dyDescent="0.25">
      <c r="A393" s="8"/>
      <c r="B393" s="30">
        <v>372</v>
      </c>
      <c r="C393" s="30">
        <v>2.0008794439353137</v>
      </c>
      <c r="D393" s="30">
        <v>2.9968290781004607</v>
      </c>
      <c r="E393" s="30">
        <v>1.830495478519966E-6</v>
      </c>
      <c r="F393" s="8"/>
      <c r="G393" s="8"/>
      <c r="H393" s="8"/>
      <c r="I393" s="5"/>
      <c r="J393" s="5"/>
      <c r="K393" s="5"/>
      <c r="L393" s="5"/>
      <c r="M393" s="5"/>
    </row>
    <row r="394" spans="1:13" x14ac:dyDescent="0.25">
      <c r="A394" s="8"/>
      <c r="B394" s="30">
        <v>373</v>
      </c>
      <c r="C394" s="30">
        <v>2.0008633321763303</v>
      </c>
      <c r="D394" s="30">
        <v>2.9968871706375158</v>
      </c>
      <c r="E394" s="30">
        <v>1.7640390651531936E-6</v>
      </c>
      <c r="F394" s="8"/>
      <c r="G394" s="8"/>
      <c r="H394" s="8"/>
      <c r="I394" s="5"/>
      <c r="J394" s="5"/>
      <c r="K394" s="5"/>
      <c r="L394" s="5"/>
      <c r="M394" s="5"/>
    </row>
    <row r="395" spans="1:13" x14ac:dyDescent="0.25">
      <c r="A395" s="8"/>
      <c r="B395" s="30">
        <v>374</v>
      </c>
      <c r="C395" s="30">
        <v>2.0008475155911123</v>
      </c>
      <c r="D395" s="30">
        <v>2.9969441988964305</v>
      </c>
      <c r="E395" s="30">
        <v>1.699995361859477E-6</v>
      </c>
      <c r="F395" s="8"/>
      <c r="G395" s="8"/>
      <c r="H395" s="8"/>
      <c r="I395" s="5"/>
      <c r="J395" s="5"/>
      <c r="K395" s="5"/>
      <c r="L395" s="5"/>
      <c r="M395" s="5"/>
    </row>
    <row r="396" spans="1:13" x14ac:dyDescent="0.25">
      <c r="A396" s="8"/>
      <c r="B396" s="30">
        <v>375</v>
      </c>
      <c r="C396" s="30">
        <v>2.0008319887719597</v>
      </c>
      <c r="D396" s="30">
        <v>2.9970001823751997</v>
      </c>
      <c r="E396" s="30">
        <v>1.6382767748354827E-6</v>
      </c>
      <c r="F396" s="8"/>
      <c r="G396" s="8"/>
      <c r="H396" s="8"/>
      <c r="I396" s="5"/>
      <c r="J396" s="5"/>
      <c r="K396" s="5"/>
      <c r="L396" s="5"/>
      <c r="M396" s="5"/>
    </row>
    <row r="397" spans="1:13" x14ac:dyDescent="0.25">
      <c r="A397" s="8"/>
      <c r="B397" s="30">
        <v>376</v>
      </c>
      <c r="C397" s="30">
        <v>2.0008167464102442</v>
      </c>
      <c r="D397" s="30">
        <v>2.9970551402146066</v>
      </c>
      <c r="E397" s="30">
        <v>1.5787988903861738E-6</v>
      </c>
      <c r="F397" s="8"/>
      <c r="G397" s="8"/>
      <c r="H397" s="8"/>
      <c r="I397" s="5"/>
      <c r="J397" s="5"/>
      <c r="K397" s="5"/>
      <c r="L397" s="5"/>
      <c r="M397" s="5"/>
    </row>
    <row r="398" spans="1:13" x14ac:dyDescent="0.25">
      <c r="A398" s="8"/>
      <c r="B398" s="30">
        <v>377</v>
      </c>
      <c r="C398" s="30">
        <v>2.0008017832945937</v>
      </c>
      <c r="D398" s="30">
        <v>2.9971090912047678</v>
      </c>
      <c r="E398" s="30">
        <v>1.5214803594695463E-6</v>
      </c>
      <c r="F398" s="8"/>
      <c r="G398" s="8"/>
      <c r="H398" s="8"/>
      <c r="I398" s="5"/>
      <c r="J398" s="5"/>
      <c r="K398" s="5"/>
      <c r="L398" s="5"/>
      <c r="M398" s="5"/>
    </row>
    <row r="399" spans="1:13" x14ac:dyDescent="0.25">
      <c r="A399" s="8"/>
      <c r="B399" s="30">
        <v>378</v>
      </c>
      <c r="C399" s="30">
        <v>2.0007870943091102</v>
      </c>
      <c r="D399" s="30">
        <v>2.9971620537915578</v>
      </c>
      <c r="E399" s="30">
        <v>1.4662427864273248E-6</v>
      </c>
      <c r="F399" s="8"/>
      <c r="G399" s="8"/>
      <c r="H399" s="8"/>
      <c r="I399" s="5"/>
      <c r="J399" s="5"/>
      <c r="K399" s="5"/>
      <c r="L399" s="5"/>
      <c r="M399" s="5"/>
    </row>
    <row r="400" spans="1:13" x14ac:dyDescent="0.25">
      <c r="A400" s="8"/>
      <c r="B400" s="30">
        <v>379</v>
      </c>
      <c r="C400" s="30">
        <v>2.0007726744316217</v>
      </c>
      <c r="D400" s="30">
        <v>2.9972140460829153</v>
      </c>
      <c r="E400" s="30">
        <v>1.4130106217739805E-6</v>
      </c>
      <c r="F400" s="8"/>
      <c r="G400" s="8"/>
      <c r="H400" s="8"/>
      <c r="I400" s="5"/>
      <c r="J400" s="5"/>
      <c r="K400" s="5"/>
      <c r="L400" s="5"/>
      <c r="M400" s="5"/>
    </row>
    <row r="401" spans="1:13" x14ac:dyDescent="0.25">
      <c r="A401" s="8"/>
      <c r="B401" s="30">
        <v>380</v>
      </c>
      <c r="C401" s="30">
        <v>2.0007585187319634</v>
      </c>
      <c r="D401" s="30">
        <v>2.9972650858550347</v>
      </c>
      <c r="E401" s="30">
        <v>1.3617110588568923E-6</v>
      </c>
      <c r="F401" s="8"/>
      <c r="G401" s="8"/>
      <c r="H401" s="8"/>
      <c r="I401" s="5"/>
      <c r="J401" s="5"/>
      <c r="K401" s="5"/>
      <c r="L401" s="5"/>
      <c r="M401" s="5"/>
    </row>
    <row r="402" spans="1:13" x14ac:dyDescent="0.25">
      <c r="A402" s="8"/>
      <c r="B402" s="30">
        <v>381</v>
      </c>
      <c r="C402" s="30">
        <v>2.0007446223702936</v>
      </c>
      <c r="D402" s="30">
        <v>2.9973151905584432</v>
      </c>
      <c r="E402" s="30">
        <v>1.3122739342781093E-6</v>
      </c>
      <c r="F402" s="8"/>
      <c r="G402" s="8"/>
      <c r="H402" s="8"/>
      <c r="I402" s="5"/>
      <c r="J402" s="5"/>
      <c r="K402" s="5"/>
      <c r="L402" s="5"/>
      <c r="M402" s="5"/>
    </row>
    <row r="403" spans="1:13" x14ac:dyDescent="0.25">
      <c r="A403" s="8"/>
      <c r="B403" s="30">
        <v>382</v>
      </c>
      <c r="C403" s="30">
        <v>2.0007309805954376</v>
      </c>
      <c r="D403" s="30">
        <v>2.9973643773239678</v>
      </c>
      <c r="E403" s="30">
        <v>1.2646316319362427E-6</v>
      </c>
      <c r="F403" s="8"/>
      <c r="G403" s="8"/>
      <c r="H403" s="8"/>
      <c r="I403" s="5"/>
      <c r="J403" s="5"/>
      <c r="K403" s="5"/>
      <c r="L403" s="5"/>
      <c r="M403" s="5"/>
    </row>
    <row r="404" spans="1:13" x14ac:dyDescent="0.25">
      <c r="A404" s="8"/>
      <c r="B404" s="30">
        <v>383</v>
      </c>
      <c r="C404" s="30">
        <v>2.0007175887432656</v>
      </c>
      <c r="D404" s="30">
        <v>2.9974126629685913</v>
      </c>
      <c r="E404" s="30">
        <v>1.2187189905369682E-6</v>
      </c>
      <c r="F404" s="8"/>
      <c r="G404" s="8"/>
      <c r="H404" s="8"/>
      <c r="I404" s="5"/>
      <c r="J404" s="5"/>
      <c r="K404" s="5"/>
      <c r="L404" s="5"/>
      <c r="M404" s="5"/>
    </row>
    <row r="405" spans="1:13" x14ac:dyDescent="0.25">
      <c r="A405" s="8"/>
      <c r="B405" s="30">
        <v>384</v>
      </c>
      <c r="C405" s="30">
        <v>2.0007044422350964</v>
      </c>
      <c r="D405" s="30">
        <v>2.9974600640012032</v>
      </c>
      <c r="E405" s="30">
        <v>1.174473214482157E-6</v>
      </c>
      <c r="F405" s="8"/>
      <c r="G405" s="8"/>
      <c r="H405" s="8"/>
      <c r="I405" s="5"/>
      <c r="J405" s="5"/>
      <c r="K405" s="5"/>
      <c r="L405" s="5"/>
      <c r="M405" s="5"/>
    </row>
    <row r="406" spans="1:13" x14ac:dyDescent="0.25">
      <c r="A406" s="8"/>
      <c r="B406" s="30">
        <v>385</v>
      </c>
      <c r="C406" s="30">
        <v>2.0006915365761295</v>
      </c>
      <c r="D406" s="30">
        <v>2.9975065966282441</v>
      </c>
      <c r="E406" s="30">
        <v>1.1318337879742634E-6</v>
      </c>
      <c r="F406" s="8"/>
      <c r="G406" s="8"/>
      <c r="H406" s="8"/>
      <c r="I406" s="5"/>
      <c r="J406" s="5"/>
      <c r="K406" s="5"/>
      <c r="L406" s="5"/>
      <c r="M406" s="5"/>
    </row>
    <row r="407" spans="1:13" x14ac:dyDescent="0.25">
      <c r="A407" s="8"/>
      <c r="B407" s="30">
        <v>386</v>
      </c>
      <c r="C407" s="30">
        <v>2.0006788673539138</v>
      </c>
      <c r="D407" s="30">
        <v>2.9975522767592455</v>
      </c>
      <c r="E407" s="30">
        <v>1.0907423922529478E-6</v>
      </c>
      <c r="F407" s="8"/>
      <c r="G407" s="8"/>
      <c r="H407" s="8"/>
      <c r="I407" s="5"/>
      <c r="J407" s="5"/>
      <c r="K407" s="5"/>
      <c r="L407" s="5"/>
      <c r="M407" s="5"/>
    </row>
    <row r="408" spans="1:13" x14ac:dyDescent="0.25">
      <c r="A408" s="8"/>
      <c r="B408" s="30">
        <v>387</v>
      </c>
      <c r="C408" s="30">
        <v>2.0006664302368349</v>
      </c>
      <c r="D408" s="30">
        <v>2.9975971200122706</v>
      </c>
      <c r="E408" s="30">
        <v>1.0511428258269331E-6</v>
      </c>
      <c r="F408" s="8"/>
      <c r="G408" s="8"/>
      <c r="H408" s="8"/>
      <c r="I408" s="5"/>
      <c r="J408" s="5"/>
      <c r="K408" s="5"/>
      <c r="L408" s="5"/>
      <c r="M408" s="5"/>
    </row>
    <row r="409" spans="1:13" x14ac:dyDescent="0.25">
      <c r="A409" s="8"/>
      <c r="B409" s="30">
        <v>388</v>
      </c>
      <c r="C409" s="30">
        <v>2.0006542209726352</v>
      </c>
      <c r="D409" s="30">
        <v>2.997641141719253</v>
      </c>
      <c r="E409" s="30">
        <v>1.0129809276086015E-6</v>
      </c>
      <c r="F409" s="8"/>
      <c r="G409" s="8"/>
      <c r="H409" s="8"/>
      <c r="I409" s="5"/>
      <c r="J409" s="5"/>
      <c r="K409" s="5"/>
      <c r="L409" s="5"/>
      <c r="M409" s="5"/>
    </row>
    <row r="410" spans="1:13" x14ac:dyDescent="0.25">
      <c r="A410" s="8"/>
      <c r="B410" s="30">
        <v>389</v>
      </c>
      <c r="C410" s="30">
        <v>2.0006422353869606</v>
      </c>
      <c r="D410" s="30">
        <v>2.9976843569312397</v>
      </c>
      <c r="E410" s="30">
        <v>9.7620450283896421E-7</v>
      </c>
      <c r="F410" s="8"/>
      <c r="G410" s="8"/>
      <c r="H410" s="8"/>
      <c r="I410" s="5"/>
      <c r="J410" s="5"/>
      <c r="K410" s="5"/>
      <c r="L410" s="5"/>
      <c r="M410" s="5"/>
    </row>
    <row r="411" spans="1:13" x14ac:dyDescent="0.25">
      <c r="A411" s="8"/>
      <c r="B411" s="30">
        <v>390</v>
      </c>
      <c r="C411" s="30">
        <v>2.0006304693819321</v>
      </c>
      <c r="D411" s="30">
        <v>2.9977267804235361</v>
      </c>
      <c r="E411" s="30">
        <v>9.4076325169557292E-7</v>
      </c>
      <c r="F411" s="8"/>
      <c r="G411" s="8"/>
      <c r="H411" s="8"/>
      <c r="I411" s="5"/>
      <c r="J411" s="5"/>
      <c r="K411" s="5"/>
      <c r="L411" s="5"/>
      <c r="M411" s="5"/>
    </row>
    <row r="412" spans="1:13" x14ac:dyDescent="0.25">
      <c r="A412" s="8"/>
      <c r="B412" s="30">
        <v>391</v>
      </c>
      <c r="C412" s="30">
        <v>2.0006189189347459</v>
      </c>
      <c r="D412" s="30">
        <v>2.9977684267007589</v>
      </c>
      <c r="E412" s="30">
        <v>9.0660870050052981E-7</v>
      </c>
      <c r="F412" s="8"/>
      <c r="G412" s="8"/>
      <c r="H412" s="8"/>
      <c r="I412" s="5"/>
      <c r="J412" s="5"/>
      <c r="K412" s="5"/>
      <c r="L412" s="5"/>
      <c r="M412" s="5"/>
    </row>
    <row r="413" spans="1:13" x14ac:dyDescent="0.25">
      <c r="A413" s="8"/>
      <c r="B413" s="30">
        <v>392</v>
      </c>
      <c r="C413" s="30">
        <v>2.0006075800962977</v>
      </c>
      <c r="D413" s="30">
        <v>2.9978093100017937</v>
      </c>
      <c r="E413" s="30">
        <v>8.7369413541721624E-7</v>
      </c>
      <c r="F413" s="8"/>
      <c r="G413" s="8"/>
      <c r="H413" s="8"/>
      <c r="I413" s="5"/>
      <c r="J413" s="5"/>
      <c r="K413" s="5"/>
      <c r="L413" s="5"/>
      <c r="M413" s="5"/>
    </row>
    <row r="414" spans="1:13" x14ac:dyDescent="0.25">
      <c r="A414" s="8"/>
      <c r="B414" s="30">
        <v>393</v>
      </c>
      <c r="C414" s="30">
        <v>2.0005964489898322</v>
      </c>
      <c r="D414" s="30">
        <v>2.9978494443046646</v>
      </c>
      <c r="E414" s="30">
        <v>8.4197453856586598E-7</v>
      </c>
      <c r="F414" s="8"/>
      <c r="G414" s="8"/>
      <c r="H414" s="8"/>
      <c r="I414" s="5"/>
      <c r="J414" s="5"/>
      <c r="K414" s="5"/>
      <c r="L414" s="5"/>
      <c r="M414" s="5"/>
    </row>
    <row r="415" spans="1:13" x14ac:dyDescent="0.25">
      <c r="A415" s="8"/>
      <c r="B415" s="30">
        <v>394</v>
      </c>
      <c r="C415" s="30">
        <v>2.0005855218096174</v>
      </c>
      <c r="D415" s="30">
        <v>2.9978888433313129</v>
      </c>
      <c r="E415" s="30">
        <v>8.114065264425199E-7</v>
      </c>
      <c r="F415" s="8"/>
      <c r="G415" s="8"/>
      <c r="H415" s="8"/>
      <c r="I415" s="5"/>
      <c r="J415" s="5"/>
      <c r="K415" s="5"/>
      <c r="L415" s="5"/>
      <c r="M415" s="5"/>
    </row>
    <row r="416" spans="1:13" x14ac:dyDescent="0.25">
      <c r="A416" s="8"/>
      <c r="B416" s="30">
        <v>395</v>
      </c>
      <c r="C416" s="30">
        <v>2.0005747948196442</v>
      </c>
      <c r="D416" s="30">
        <v>2.9979275205522882</v>
      </c>
      <c r="E416" s="30">
        <v>7.8194829059323088E-7</v>
      </c>
      <c r="F416" s="8"/>
      <c r="G416" s="8"/>
      <c r="H416" s="8"/>
      <c r="I416" s="5"/>
      <c r="J416" s="5"/>
      <c r="K416" s="5"/>
      <c r="L416" s="5"/>
      <c r="M416" s="5"/>
    </row>
    <row r="417" spans="1:13" x14ac:dyDescent="0.25">
      <c r="A417" s="8"/>
      <c r="B417" s="30">
        <v>396</v>
      </c>
      <c r="C417" s="30">
        <v>2.0005642643523491</v>
      </c>
      <c r="D417" s="30">
        <v>2.9979654891913547</v>
      </c>
      <c r="E417" s="30">
        <v>7.5355954042112472E-7</v>
      </c>
      <c r="F417" s="8"/>
      <c r="G417" s="8"/>
      <c r="H417" s="8"/>
      <c r="I417" s="5"/>
      <c r="J417" s="5"/>
      <c r="K417" s="5"/>
      <c r="L417" s="5"/>
      <c r="M417" s="5"/>
    </row>
    <row r="418" spans="1:13" x14ac:dyDescent="0.25">
      <c r="A418" s="8"/>
      <c r="B418" s="30">
        <v>397</v>
      </c>
      <c r="C418" s="30">
        <v>2.0005539268073589</v>
      </c>
      <c r="D418" s="30">
        <v>2.9980027622300116</v>
      </c>
      <c r="E418" s="30">
        <v>7.2620144809019862E-7</v>
      </c>
      <c r="F418" s="8"/>
      <c r="G418" s="8"/>
      <c r="H418" s="8"/>
      <c r="I418" s="5"/>
      <c r="J418" s="5"/>
      <c r="K418" s="5"/>
      <c r="L418" s="5"/>
      <c r="M418" s="5"/>
    </row>
    <row r="419" spans="1:13" x14ac:dyDescent="0.25">
      <c r="A419" s="8"/>
      <c r="B419" s="30">
        <v>398</v>
      </c>
      <c r="C419" s="30">
        <v>2.0005437786502607</v>
      </c>
      <c r="D419" s="30">
        <v>2.9980393524119324</v>
      </c>
      <c r="E419" s="30">
        <v>6.9983659541079587E-7</v>
      </c>
      <c r="F419" s="8"/>
      <c r="G419" s="8"/>
      <c r="H419" s="8"/>
      <c r="I419" s="5"/>
      <c r="J419" s="5"/>
      <c r="K419" s="5"/>
      <c r="L419" s="5"/>
      <c r="M419" s="5"/>
    </row>
    <row r="420" spans="1:13" x14ac:dyDescent="0.25">
      <c r="A420" s="8"/>
      <c r="B420" s="30">
        <v>399</v>
      </c>
      <c r="C420" s="30">
        <v>2.0005338164113939</v>
      </c>
      <c r="D420" s="30">
        <v>2.9980752722473212</v>
      </c>
      <c r="E420" s="30">
        <v>6.7442892266907952E-7</v>
      </c>
      <c r="F420" s="8"/>
      <c r="G420" s="8"/>
      <c r="H420" s="8"/>
      <c r="I420" s="5"/>
      <c r="J420" s="5"/>
      <c r="K420" s="5"/>
      <c r="L420" s="5"/>
      <c r="M420" s="5"/>
    </row>
    <row r="421" spans="1:13" x14ac:dyDescent="0.25">
      <c r="A421" s="8"/>
      <c r="B421" s="30">
        <v>400</v>
      </c>
      <c r="C421" s="30">
        <v>2.0005240366846642</v>
      </c>
      <c r="D421" s="30">
        <v>2.9981105340171896</v>
      </c>
      <c r="E421" s="30">
        <v>6.4994367930391941E-7</v>
      </c>
      <c r="F421" s="8"/>
      <c r="G421" s="8"/>
      <c r="H421" s="8"/>
      <c r="I421" s="5"/>
      <c r="J421" s="5"/>
      <c r="K421" s="5"/>
      <c r="L421" s="5"/>
      <c r="M421" s="5"/>
    </row>
    <row r="422" spans="1:13" x14ac:dyDescent="0.25">
      <c r="A422" s="8"/>
      <c r="B422" s="30">
        <v>401</v>
      </c>
      <c r="C422" s="30">
        <v>2.0005144361263767</v>
      </c>
      <c r="D422" s="30">
        <v>2.9981451497775575</v>
      </c>
      <c r="E422" s="30">
        <v>6.2634737637718139E-7</v>
      </c>
      <c r="F422" s="8"/>
      <c r="G422" s="8"/>
      <c r="H422" s="8"/>
      <c r="I422" s="5"/>
      <c r="J422" s="5"/>
      <c r="K422" s="5"/>
      <c r="L422" s="5"/>
      <c r="M422" s="5"/>
    </row>
    <row r="423" spans="1:13" x14ac:dyDescent="0.25">
      <c r="A423" s="8"/>
      <c r="B423" s="30">
        <v>402</v>
      </c>
      <c r="C423" s="30">
        <v>2.0005050114540954</v>
      </c>
      <c r="D423" s="30">
        <v>2.9981791313635733</v>
      </c>
      <c r="E423" s="30">
        <v>6.036077407737349E-7</v>
      </c>
      <c r="F423" s="8"/>
      <c r="G423" s="8"/>
      <c r="H423" s="8"/>
      <c r="I423" s="5"/>
      <c r="J423" s="5"/>
      <c r="K423" s="5"/>
      <c r="L423" s="5"/>
      <c r="M423" s="5"/>
    </row>
    <row r="424" spans="1:13" x14ac:dyDescent="0.25">
      <c r="A424" s="8"/>
      <c r="B424" s="30">
        <v>403</v>
      </c>
      <c r="C424" s="30">
        <v>2.0004957594455184</v>
      </c>
      <c r="D424" s="30">
        <v>2.9982124903935605</v>
      </c>
      <c r="E424" s="30">
        <v>5.8169367105816585E-7</v>
      </c>
      <c r="F424" s="8"/>
      <c r="G424" s="8"/>
      <c r="H424" s="8"/>
      <c r="I424" s="5"/>
      <c r="J424" s="5"/>
      <c r="K424" s="5"/>
      <c r="L424" s="5"/>
      <c r="M424" s="5"/>
    </row>
    <row r="425" spans="1:13" x14ac:dyDescent="0.25">
      <c r="A425" s="8"/>
      <c r="B425" s="30">
        <v>404</v>
      </c>
      <c r="C425" s="30">
        <v>2.0004866769373799</v>
      </c>
      <c r="D425" s="30">
        <v>2.9982452382729905</v>
      </c>
      <c r="E425" s="30">
        <v>5.6057519493448485E-7</v>
      </c>
      <c r="F425" s="8"/>
      <c r="G425" s="8"/>
      <c r="H425" s="8"/>
      <c r="I425" s="5"/>
      <c r="J425" s="5"/>
      <c r="K425" s="5"/>
      <c r="L425" s="5"/>
      <c r="M425" s="5"/>
    </row>
    <row r="426" spans="1:13" x14ac:dyDescent="0.25">
      <c r="A426" s="8"/>
      <c r="B426" s="30">
        <v>405</v>
      </c>
      <c r="C426" s="30">
        <v>2.0004777608243649</v>
      </c>
      <c r="D426" s="30">
        <v>2.998277386198382</v>
      </c>
      <c r="E426" s="30">
        <v>5.4022342826063638E-7</v>
      </c>
      <c r="F426" s="8"/>
      <c r="G426" s="8"/>
      <c r="H426" s="8"/>
      <c r="I426" s="5"/>
      <c r="J426" s="5"/>
      <c r="K426" s="5"/>
      <c r="L426" s="5"/>
      <c r="M426" s="5"/>
    </row>
    <row r="427" spans="1:13" x14ac:dyDescent="0.25">
      <c r="A427" s="8"/>
      <c r="B427" s="30">
        <v>406</v>
      </c>
      <c r="C427" s="30">
        <v>2.0004690080580492</v>
      </c>
      <c r="D427" s="30">
        <v>2.9983089451611291</v>
      </c>
      <c r="E427" s="30">
        <v>5.206105355330582E-7</v>
      </c>
      <c r="F427" s="8"/>
      <c r="G427" s="8"/>
      <c r="H427" s="8"/>
      <c r="I427" s="5"/>
      <c r="J427" s="5"/>
      <c r="K427" s="5"/>
      <c r="L427" s="5"/>
      <c r="M427" s="5"/>
    </row>
    <row r="428" spans="1:13" x14ac:dyDescent="0.25">
      <c r="A428" s="8"/>
      <c r="B428" s="30">
        <v>407</v>
      </c>
      <c r="C428" s="30">
        <v>2.0004604156458563</v>
      </c>
      <c r="D428" s="30">
        <v>2.9983399259512593</v>
      </c>
      <c r="E428" s="30">
        <v>5.0170969182264189E-7</v>
      </c>
      <c r="F428" s="8"/>
      <c r="G428" s="8"/>
      <c r="H428" s="8"/>
      <c r="I428" s="5"/>
      <c r="J428" s="5"/>
      <c r="K428" s="5"/>
      <c r="L428" s="5"/>
      <c r="M428" s="5"/>
    </row>
    <row r="429" spans="1:13" x14ac:dyDescent="0.25">
      <c r="A429" s="8"/>
      <c r="B429" s="30">
        <v>408</v>
      </c>
      <c r="C429" s="30">
        <v>2.0004519806500367</v>
      </c>
      <c r="D429" s="30">
        <v>2.9983703391611223</v>
      </c>
      <c r="E429" s="30">
        <v>4.8349504608333061E-7</v>
      </c>
      <c r="F429" s="8"/>
      <c r="G429" s="8"/>
      <c r="H429" s="8"/>
      <c r="I429" s="5"/>
      <c r="J429" s="5"/>
      <c r="K429" s="5"/>
      <c r="L429" s="5"/>
      <c r="M429" s="5"/>
    </row>
    <row r="430" spans="1:13" x14ac:dyDescent="0.25">
      <c r="A430" s="8"/>
      <c r="B430" s="30">
        <v>409</v>
      </c>
      <c r="C430" s="30">
        <v>2.0004437001866595</v>
      </c>
      <c r="D430" s="30">
        <v>2.9984001951890122</v>
      </c>
      <c r="E430" s="30">
        <v>4.6594168579403799E-7</v>
      </c>
      <c r="F430" s="8"/>
      <c r="G430" s="8"/>
      <c r="H430" s="8"/>
      <c r="I430" s="5"/>
      <c r="J430" s="5"/>
      <c r="K430" s="5"/>
      <c r="L430" s="5"/>
      <c r="M430" s="5"/>
    </row>
    <row r="431" spans="1:13" x14ac:dyDescent="0.25">
      <c r="A431" s="8"/>
      <c r="B431" s="30">
        <v>410</v>
      </c>
      <c r="C431" s="30">
        <v>2.0004355714246307</v>
      </c>
      <c r="D431" s="30">
        <v>2.9984295042427216</v>
      </c>
      <c r="E431" s="30">
        <v>4.4902560288759457E-7</v>
      </c>
      <c r="F431" s="8"/>
      <c r="G431" s="8"/>
      <c r="H431" s="8"/>
      <c r="I431" s="5"/>
      <c r="J431" s="5"/>
      <c r="K431" s="5"/>
      <c r="L431" s="5"/>
      <c r="M431" s="5"/>
    </row>
    <row r="432" spans="1:13" x14ac:dyDescent="0.25">
      <c r="A432" s="8"/>
      <c r="B432" s="30">
        <v>411</v>
      </c>
      <c r="C432" s="30">
        <v>2.0004275915847205</v>
      </c>
      <c r="D432" s="30">
        <v>2.9984582763430332</v>
      </c>
      <c r="E432" s="30">
        <v>4.3272366091160445E-7</v>
      </c>
      <c r="F432" s="8"/>
      <c r="G432" s="8"/>
      <c r="H432" s="8"/>
      <c r="I432" s="5"/>
      <c r="J432" s="5"/>
      <c r="K432" s="5"/>
      <c r="L432" s="5"/>
      <c r="M432" s="5"/>
    </row>
    <row r="433" spans="1:13" x14ac:dyDescent="0.25">
      <c r="A433" s="8"/>
      <c r="B433" s="30">
        <v>412</v>
      </c>
      <c r="C433" s="30">
        <v>2.000419757938618</v>
      </c>
      <c r="D433" s="30">
        <v>2.9984865213271443</v>
      </c>
      <c r="E433" s="30">
        <v>4.1701356338897067E-7</v>
      </c>
      <c r="F433" s="8"/>
      <c r="G433" s="8"/>
      <c r="H433" s="8"/>
      <c r="I433" s="5"/>
      <c r="J433" s="5"/>
      <c r="K433" s="5"/>
      <c r="L433" s="5"/>
      <c r="M433" s="5"/>
    </row>
    <row r="434" spans="1:13" x14ac:dyDescent="0.25">
      <c r="A434" s="8"/>
      <c r="B434" s="30">
        <v>413</v>
      </c>
      <c r="C434" s="30">
        <v>2.0004120678079946</v>
      </c>
      <c r="D434" s="30">
        <v>2.9985142488520315</v>
      </c>
      <c r="E434" s="30">
        <v>4.018738233168154E-7</v>
      </c>
      <c r="F434" s="8"/>
      <c r="G434" s="8"/>
      <c r="H434" s="8"/>
      <c r="I434" s="5"/>
      <c r="J434" s="5"/>
      <c r="K434" s="5"/>
      <c r="L434" s="5"/>
      <c r="M434" s="5"/>
    </row>
    <row r="435" spans="1:13" x14ac:dyDescent="0.25">
      <c r="A435" s="8"/>
      <c r="B435" s="30">
        <v>414</v>
      </c>
      <c r="C435" s="30">
        <v>2.0004045185635912</v>
      </c>
      <c r="D435" s="30">
        <v>2.9985414683977512</v>
      </c>
      <c r="E435" s="30">
        <v>3.8728373378341183E-7</v>
      </c>
      <c r="F435" s="8"/>
      <c r="G435" s="8"/>
      <c r="H435" s="8"/>
      <c r="I435" s="5"/>
      <c r="J435" s="5"/>
      <c r="K435" s="5"/>
      <c r="L435" s="5"/>
      <c r="M435" s="5"/>
    </row>
    <row r="436" spans="1:13" x14ac:dyDescent="0.25">
      <c r="A436" s="8"/>
      <c r="B436" s="30">
        <v>415</v>
      </c>
      <c r="C436" s="30">
        <v>2.0003971076243152</v>
      </c>
      <c r="D436" s="30">
        <v>2.9985681892706815</v>
      </c>
      <c r="E436" s="30">
        <v>3.7322333964165482E-7</v>
      </c>
      <c r="F436" s="8"/>
      <c r="G436" s="8"/>
      <c r="H436" s="8"/>
      <c r="I436" s="5"/>
      <c r="J436" s="5"/>
      <c r="K436" s="5"/>
      <c r="L436" s="5"/>
      <c r="M436" s="5"/>
    </row>
    <row r="437" spans="1:13" x14ac:dyDescent="0.25">
      <c r="A437" s="8"/>
      <c r="B437" s="30">
        <v>416</v>
      </c>
      <c r="C437" s="30">
        <v>2.000389832456364</v>
      </c>
      <c r="D437" s="30">
        <v>2.9985944206067043</v>
      </c>
      <c r="E437" s="30">
        <v>3.5967341022135292E-7</v>
      </c>
      <c r="F437" s="8"/>
      <c r="G437" s="8"/>
      <c r="H437" s="8"/>
      <c r="I437" s="5"/>
      <c r="J437" s="5"/>
      <c r="K437" s="5"/>
      <c r="L437" s="5"/>
      <c r="M437" s="5"/>
    </row>
    <row r="438" spans="1:13" x14ac:dyDescent="0.25">
      <c r="A438" s="8"/>
      <c r="B438" s="30">
        <v>417</v>
      </c>
      <c r="C438" s="30">
        <v>2.0003826905723523</v>
      </c>
      <c r="D438" s="30">
        <v>2.9986201713743283</v>
      </c>
      <c r="E438" s="30">
        <v>3.4661541302536943E-7</v>
      </c>
      <c r="F438" s="8"/>
      <c r="G438" s="8"/>
      <c r="H438" s="8"/>
      <c r="I438" s="5"/>
      <c r="J438" s="5"/>
      <c r="K438" s="5"/>
      <c r="L438" s="5"/>
      <c r="M438" s="5"/>
    </row>
    <row r="439" spans="1:13" x14ac:dyDescent="0.25">
      <c r="A439" s="8"/>
      <c r="B439" s="30">
        <v>418</v>
      </c>
      <c r="C439" s="30">
        <v>2.0003756795304661</v>
      </c>
      <c r="D439" s="30">
        <v>2.9986454503777558</v>
      </c>
      <c r="E439" s="30">
        <v>3.3403148837909762E-7</v>
      </c>
      <c r="F439" s="8"/>
      <c r="G439" s="8"/>
      <c r="H439" s="8"/>
      <c r="I439" s="5"/>
      <c r="J439" s="5"/>
      <c r="K439" s="5"/>
      <c r="L439" s="5"/>
      <c r="M439" s="5"/>
    </row>
    <row r="440" spans="1:13" x14ac:dyDescent="0.25">
      <c r="A440" s="8"/>
      <c r="B440" s="30">
        <v>419</v>
      </c>
      <c r="C440" s="30">
        <v>2.0003687969336266</v>
      </c>
      <c r="D440" s="30">
        <v>2.9986702662598921</v>
      </c>
      <c r="E440" s="30">
        <v>3.2190442500776502E-7</v>
      </c>
      <c r="F440" s="8"/>
      <c r="G440" s="8"/>
      <c r="H440" s="8"/>
      <c r="I440" s="5"/>
      <c r="J440" s="5"/>
      <c r="K440" s="5"/>
      <c r="L440" s="5"/>
      <c r="M440" s="5"/>
    </row>
    <row r="441" spans="1:13" x14ac:dyDescent="0.25">
      <c r="A441" s="8"/>
      <c r="B441" s="30">
        <v>420</v>
      </c>
      <c r="C441" s="30">
        <v>2.0003620404286697</v>
      </c>
      <c r="D441" s="30">
        <v>2.9986946275053019</v>
      </c>
      <c r="E441" s="30">
        <v>3.1021763649395651E-7</v>
      </c>
      <c r="F441" s="8"/>
      <c r="G441" s="8"/>
      <c r="H441" s="8"/>
      <c r="I441" s="5"/>
      <c r="J441" s="5"/>
      <c r="K441" s="5"/>
      <c r="L441" s="5"/>
      <c r="M441" s="5"/>
    </row>
    <row r="442" spans="1:13" x14ac:dyDescent="0.25">
      <c r="A442" s="8"/>
      <c r="B442" s="30">
        <v>421</v>
      </c>
      <c r="C442" s="30">
        <v>2.0003554077055425</v>
      </c>
      <c r="D442" s="30">
        <v>2.9987185424431089</v>
      </c>
      <c r="E442" s="30">
        <v>2.9895513859387488E-7</v>
      </c>
      <c r="F442" s="8"/>
      <c r="G442" s="8"/>
      <c r="H442" s="8"/>
      <c r="I442" s="5"/>
      <c r="J442" s="5"/>
      <c r="K442" s="5"/>
      <c r="L442" s="5"/>
      <c r="M442" s="5"/>
    </row>
    <row r="443" spans="1:13" x14ac:dyDescent="0.25">
      <c r="A443" s="8"/>
      <c r="B443" s="30">
        <v>422</v>
      </c>
      <c r="C443" s="30">
        <v>2.0003488964965128</v>
      </c>
      <c r="D443" s="30">
        <v>2.998742019249844</v>
      </c>
      <c r="E443" s="30">
        <v>2.8810152737150322E-7</v>
      </c>
      <c r="F443" s="8"/>
      <c r="G443" s="8"/>
      <c r="H443" s="8"/>
      <c r="I443" s="5"/>
      <c r="J443" s="5"/>
      <c r="K443" s="5"/>
      <c r="L443" s="5"/>
      <c r="M443" s="5"/>
    </row>
    <row r="444" spans="1:13" x14ac:dyDescent="0.25">
      <c r="A444" s="8"/>
      <c r="B444" s="30">
        <v>423</v>
      </c>
      <c r="C444" s="30">
        <v>2.0003425045753955</v>
      </c>
      <c r="D444" s="30">
        <v>2.9987650659522407</v>
      </c>
      <c r="E444" s="30">
        <v>2.7764195813546561E-7</v>
      </c>
      <c r="F444" s="8"/>
      <c r="G444" s="8"/>
      <c r="H444" s="8"/>
      <c r="I444" s="5"/>
      <c r="J444" s="5"/>
      <c r="K444" s="5"/>
      <c r="L444" s="5"/>
      <c r="M444" s="5"/>
    </row>
    <row r="445" spans="1:13" x14ac:dyDescent="0.25">
      <c r="A445" s="8"/>
      <c r="B445" s="30">
        <v>424</v>
      </c>
      <c r="C445" s="30">
        <v>2.0003362297567882</v>
      </c>
      <c r="D445" s="30">
        <v>2.9987876904299799</v>
      </c>
      <c r="E445" s="30">
        <v>2.6756212513143911E-7</v>
      </c>
      <c r="F445" s="8"/>
      <c r="G445" s="8"/>
      <c r="H445" s="8"/>
      <c r="I445" s="5"/>
      <c r="J445" s="5"/>
      <c r="K445" s="5"/>
      <c r="L445" s="5"/>
      <c r="M445" s="5"/>
    </row>
    <row r="446" spans="1:13" x14ac:dyDescent="0.25">
      <c r="A446" s="8"/>
      <c r="B446" s="30">
        <v>425</v>
      </c>
      <c r="C446" s="30">
        <v>2.0003300698953272</v>
      </c>
      <c r="D446" s="30">
        <v>2.9988099004183839</v>
      </c>
      <c r="E446" s="30">
        <v>2.5784824197925846E-7</v>
      </c>
      <c r="F446" s="8"/>
      <c r="G446" s="8"/>
      <c r="H446" s="8"/>
      <c r="I446" s="5"/>
      <c r="J446" s="5"/>
      <c r="K446" s="5"/>
      <c r="L446" s="5"/>
      <c r="M446" s="5"/>
    </row>
    <row r="447" spans="1:13" x14ac:dyDescent="0.25">
      <c r="A447" s="8"/>
      <c r="B447" s="30">
        <v>426</v>
      </c>
      <c r="C447" s="30">
        <v>2.0003240228849517</v>
      </c>
      <c r="D447" s="30">
        <v>2.9988317035110601</v>
      </c>
      <c r="E447" s="30">
        <v>2.4848702281445799E-7</v>
      </c>
      <c r="F447" s="8"/>
      <c r="G447" s="8"/>
      <c r="H447" s="8"/>
      <c r="I447" s="5"/>
      <c r="J447" s="5"/>
      <c r="K447" s="5"/>
      <c r="L447" s="5"/>
      <c r="M447" s="5"/>
    </row>
    <row r="448" spans="1:13" x14ac:dyDescent="0.25">
      <c r="A448" s="8"/>
      <c r="B448" s="30">
        <v>427</v>
      </c>
      <c r="C448" s="30">
        <v>2.0003180866581869</v>
      </c>
      <c r="D448" s="30">
        <v>2.998853107162498</v>
      </c>
      <c r="E448" s="30">
        <v>2.3946566411802288E-7</v>
      </c>
      <c r="F448" s="8"/>
      <c r="G448" s="8"/>
      <c r="H448" s="8"/>
      <c r="I448" s="5"/>
      <c r="J448" s="5"/>
      <c r="K448" s="5"/>
      <c r="L448" s="5"/>
      <c r="M448" s="5"/>
    </row>
    <row r="449" spans="1:13" x14ac:dyDescent="0.25">
      <c r="A449" s="8"/>
      <c r="B449" s="30">
        <v>428</v>
      </c>
      <c r="C449" s="30">
        <v>2.0003122591854319</v>
      </c>
      <c r="D449" s="30">
        <v>2.9988741186906185</v>
      </c>
      <c r="E449" s="30">
        <v>2.3077182720436931E-7</v>
      </c>
      <c r="F449" s="8"/>
      <c r="G449" s="8"/>
      <c r="H449" s="8"/>
      <c r="I449" s="5"/>
      <c r="J449" s="5"/>
      <c r="K449" s="5"/>
      <c r="L449" s="5"/>
      <c r="M449" s="5"/>
    </row>
    <row r="450" spans="1:13" x14ac:dyDescent="0.25">
      <c r="A450" s="8"/>
      <c r="B450" s="30">
        <v>429</v>
      </c>
      <c r="C450" s="30">
        <v>2.0003065384742711</v>
      </c>
      <c r="D450" s="30">
        <v>2.9988947452792751</v>
      </c>
      <c r="E450" s="30">
        <v>2.223936213459637E-7</v>
      </c>
      <c r="F450" s="8"/>
      <c r="G450" s="8"/>
      <c r="H450" s="8"/>
      <c r="I450" s="5"/>
      <c r="J450" s="5"/>
      <c r="K450" s="5"/>
      <c r="L450" s="5"/>
      <c r="M450" s="5"/>
    </row>
    <row r="451" spans="1:13" x14ac:dyDescent="0.25">
      <c r="A451" s="8"/>
      <c r="B451" s="30">
        <v>430</v>
      </c>
      <c r="C451" s="30">
        <v>2.0003009225687904</v>
      </c>
      <c r="D451" s="30">
        <v>2.9989149939807107</v>
      </c>
      <c r="E451" s="30">
        <v>2.1431958751022471E-7</v>
      </c>
      <c r="F451" s="8"/>
      <c r="G451" s="8"/>
      <c r="H451" s="8"/>
      <c r="I451" s="5"/>
      <c r="J451" s="5"/>
      <c r="K451" s="5"/>
      <c r="L451" s="5"/>
      <c r="M451" s="5"/>
    </row>
    <row r="452" spans="1:13" x14ac:dyDescent="0.25">
      <c r="A452" s="8"/>
      <c r="B452" s="30">
        <v>431</v>
      </c>
      <c r="C452" s="30">
        <v>2.0002954095489081</v>
      </c>
      <c r="D452" s="30">
        <v>2.9989348717179674</v>
      </c>
      <c r="E452" s="30">
        <v>2.0653868268562842E-7</v>
      </c>
      <c r="F452" s="8"/>
      <c r="G452" s="8"/>
      <c r="H452" s="8"/>
      <c r="I452" s="5"/>
      <c r="J452" s="5"/>
      <c r="K452" s="5"/>
      <c r="L452" s="5"/>
      <c r="M452" s="5"/>
    </row>
    <row r="453" spans="1:13" x14ac:dyDescent="0.25">
      <c r="A453" s="8"/>
      <c r="B453" s="30">
        <v>432</v>
      </c>
      <c r="C453" s="30">
        <v>2.0002899975297188</v>
      </c>
      <c r="D453" s="30">
        <v>2.9989543852872549</v>
      </c>
      <c r="E453" s="30">
        <v>1.9904026478015093E-7</v>
      </c>
      <c r="F453" s="8"/>
      <c r="G453" s="8"/>
      <c r="H453" s="8"/>
      <c r="I453" s="5"/>
      <c r="J453" s="5"/>
      <c r="K453" s="5"/>
      <c r="L453" s="5"/>
      <c r="M453" s="5"/>
    </row>
    <row r="454" spans="1:13" x14ac:dyDescent="0.25">
      <c r="A454" s="8"/>
      <c r="B454" s="30">
        <v>433</v>
      </c>
      <c r="C454" s="30">
        <v>2.0002846846608513</v>
      </c>
      <c r="D454" s="30">
        <v>2.9989735413602738</v>
      </c>
      <c r="E454" s="30">
        <v>1.9181407806287983E-7</v>
      </c>
      <c r="F454" s="8"/>
      <c r="G454" s="8"/>
      <c r="H454" s="8"/>
      <c r="I454" s="5"/>
      <c r="J454" s="5"/>
      <c r="K454" s="5"/>
      <c r="L454" s="5"/>
      <c r="M454" s="5"/>
    </row>
    <row r="455" spans="1:13" x14ac:dyDescent="0.25">
      <c r="A455" s="8"/>
      <c r="B455" s="30">
        <v>434</v>
      </c>
      <c r="C455" s="30">
        <v>2.0002794691258328</v>
      </c>
      <c r="D455" s="30">
        <v>2.9989923464864967</v>
      </c>
      <c r="E455" s="30">
        <v>1.848502391399707E-7</v>
      </c>
      <c r="F455" s="8"/>
      <c r="G455" s="8"/>
      <c r="H455" s="8"/>
      <c r="I455" s="5"/>
      <c r="J455" s="5"/>
      <c r="K455" s="5"/>
      <c r="L455" s="5"/>
      <c r="M455" s="5"/>
    </row>
    <row r="456" spans="1:13" x14ac:dyDescent="0.25">
      <c r="A456" s="8"/>
      <c r="B456" s="30">
        <v>435</v>
      </c>
      <c r="C456" s="30">
        <v>2.0002743491414674</v>
      </c>
      <c r="D456" s="30">
        <v>2.9990108070954067</v>
      </c>
      <c r="E456" s="30">
        <v>1.781392234356266E-7</v>
      </c>
      <c r="F456" s="8"/>
      <c r="G456" s="8"/>
      <c r="H456" s="8"/>
      <c r="I456" s="5"/>
      <c r="J456" s="5"/>
      <c r="K456" s="5"/>
      <c r="L456" s="5"/>
      <c r="M456" s="5"/>
    </row>
    <row r="457" spans="1:13" x14ac:dyDescent="0.25">
      <c r="A457" s="8"/>
      <c r="B457" s="30">
        <v>436</v>
      </c>
      <c r="C457" s="30">
        <v>2.000269322957231</v>
      </c>
      <c r="D457" s="30">
        <v>2.9990289294986967</v>
      </c>
      <c r="E457" s="30">
        <v>1.7167185216453461E-7</v>
      </c>
      <c r="F457" s="8"/>
      <c r="G457" s="8"/>
      <c r="H457" s="8"/>
      <c r="I457" s="5"/>
      <c r="J457" s="5"/>
      <c r="K457" s="5"/>
      <c r="L457" s="5"/>
      <c r="M457" s="5"/>
    </row>
    <row r="458" spans="1:13" x14ac:dyDescent="0.25">
      <c r="A458" s="8"/>
      <c r="B458" s="30">
        <v>437</v>
      </c>
      <c r="C458" s="30">
        <v>2.0002643888546681</v>
      </c>
      <c r="D458" s="30">
        <v>2.9990467198924269</v>
      </c>
      <c r="E458" s="30">
        <v>1.6543927977928911E-7</v>
      </c>
      <c r="F458" s="8"/>
      <c r="G458" s="8"/>
      <c r="H458" s="8"/>
      <c r="I458" s="5"/>
      <c r="J458" s="5"/>
      <c r="K458" s="5"/>
      <c r="L458" s="5"/>
      <c r="M458" s="5"/>
    </row>
    <row r="459" spans="1:13" x14ac:dyDescent="0.25">
      <c r="A459" s="8"/>
      <c r="B459" s="30">
        <v>438</v>
      </c>
      <c r="C459" s="30">
        <v>2.0002595451468053</v>
      </c>
      <c r="D459" s="30">
        <v>2.9990641843591428</v>
      </c>
      <c r="E459" s="30">
        <v>1.5943298187131133E-7</v>
      </c>
      <c r="F459" s="8"/>
      <c r="G459" s="8"/>
      <c r="H459" s="8"/>
      <c r="I459" s="5"/>
      <c r="J459" s="5"/>
      <c r="K459" s="5"/>
      <c r="L459" s="5"/>
      <c r="M459" s="5"/>
    </row>
    <row r="460" spans="1:13" x14ac:dyDescent="0.25">
      <c r="A460" s="8"/>
      <c r="B460" s="30">
        <v>439</v>
      </c>
      <c r="C460" s="30">
        <v>2.0002547901775767</v>
      </c>
      <c r="D460" s="30">
        <v>2.9990813288699556</v>
      </c>
      <c r="E460" s="30">
        <v>1.5364474351068108E-7</v>
      </c>
      <c r="F460" s="8"/>
      <c r="G460" s="8"/>
      <c r="H460" s="8"/>
      <c r="I460" s="5"/>
      <c r="J460" s="5"/>
      <c r="K460" s="5"/>
      <c r="L460" s="5"/>
      <c r="M460" s="5"/>
    </row>
    <row r="461" spans="1:13" x14ac:dyDescent="0.25">
      <c r="A461" s="8"/>
      <c r="B461" s="30">
        <v>440</v>
      </c>
      <c r="C461" s="30">
        <v>2.0002501223212557</v>
      </c>
      <c r="D461" s="30">
        <v>2.9990981592865835</v>
      </c>
      <c r="E461" s="30">
        <v>1.4806664801354468E-7</v>
      </c>
      <c r="F461" s="8"/>
      <c r="G461" s="8"/>
      <c r="H461" s="8"/>
      <c r="I461" s="5"/>
      <c r="J461" s="5"/>
      <c r="K461" s="5"/>
      <c r="L461" s="5"/>
      <c r="M461" s="5"/>
    </row>
    <row r="462" spans="1:13" x14ac:dyDescent="0.25">
      <c r="A462" s="8"/>
      <c r="B462" s="30">
        <v>441</v>
      </c>
      <c r="C462" s="30">
        <v>2.0002455399818992</v>
      </c>
      <c r="D462" s="30">
        <v>2.9991146813633556</v>
      </c>
      <c r="E462" s="30">
        <v>1.426910661114496E-7</v>
      </c>
      <c r="F462" s="8"/>
      <c r="G462" s="8"/>
      <c r="H462" s="8"/>
      <c r="I462" s="5"/>
      <c r="J462" s="5"/>
      <c r="K462" s="5"/>
      <c r="L462" s="5"/>
      <c r="M462" s="5"/>
    </row>
    <row r="463" spans="1:13" x14ac:dyDescent="0.25">
      <c r="A463" s="8"/>
      <c r="B463" s="30">
        <v>442</v>
      </c>
      <c r="C463" s="30">
        <v>2.0002410415928034</v>
      </c>
      <c r="D463" s="30">
        <v>2.9991309007491789</v>
      </c>
      <c r="E463" s="30">
        <v>1.3751064551807857E-7</v>
      </c>
      <c r="F463" s="8"/>
      <c r="G463" s="8"/>
      <c r="H463" s="8"/>
      <c r="I463" s="5"/>
      <c r="J463" s="5"/>
      <c r="K463" s="5"/>
      <c r="L463" s="5"/>
      <c r="M463" s="5"/>
    </row>
    <row r="464" spans="1:13" x14ac:dyDescent="0.25">
      <c r="A464" s="8"/>
      <c r="B464" s="30">
        <v>443</v>
      </c>
      <c r="C464" s="30">
        <v>2.0002366256159658</v>
      </c>
      <c r="D464" s="30">
        <v>2.9991468229894713</v>
      </c>
      <c r="E464" s="30">
        <v>1.3251830087257274E-7</v>
      </c>
      <c r="F464" s="8"/>
      <c r="G464" s="8"/>
      <c r="H464" s="8"/>
      <c r="I464" s="5"/>
      <c r="J464" s="5"/>
      <c r="K464" s="5"/>
      <c r="L464" s="5"/>
      <c r="M464" s="5"/>
    </row>
    <row r="465" spans="1:13" x14ac:dyDescent="0.25">
      <c r="A465" s="8"/>
      <c r="B465" s="30">
        <v>444</v>
      </c>
      <c r="C465" s="30">
        <v>2.0002322905415619</v>
      </c>
      <c r="D465" s="30">
        <v>2.9991624535280557</v>
      </c>
      <c r="E465" s="30">
        <v>1.2770720404951063E-7</v>
      </c>
      <c r="F465" s="8"/>
      <c r="G465" s="8"/>
      <c r="H465" s="8"/>
      <c r="I465" s="5"/>
      <c r="J465" s="5"/>
      <c r="K465" s="5"/>
      <c r="L465" s="5"/>
      <c r="M465" s="5"/>
    </row>
    <row r="466" spans="1:13" x14ac:dyDescent="0.25">
      <c r="A466" s="8"/>
      <c r="B466" s="30">
        <v>445</v>
      </c>
      <c r="C466" s="30">
        <v>2.0002280348874271</v>
      </c>
      <c r="D466" s="30">
        <v>2.9991777977090219</v>
      </c>
      <c r="E466" s="30">
        <v>1.2307077481951195E-7</v>
      </c>
      <c r="F466" s="8"/>
      <c r="G466" s="8"/>
      <c r="H466" s="8"/>
      <c r="I466" s="5"/>
      <c r="J466" s="5"/>
      <c r="K466" s="5"/>
      <c r="L466" s="5"/>
      <c r="M466" s="5"/>
    </row>
    <row r="467" spans="1:13" x14ac:dyDescent="0.25">
      <c r="A467" s="8"/>
      <c r="B467" s="30">
        <v>446</v>
      </c>
      <c r="C467" s="30">
        <v>2.0002238571985504</v>
      </c>
      <c r="D467" s="30">
        <v>2.9991928607785545</v>
      </c>
      <c r="E467" s="30">
        <v>1.186026718490493E-7</v>
      </c>
      <c r="F467" s="8"/>
      <c r="G467" s="8"/>
      <c r="H467" s="8"/>
      <c r="I467" s="5"/>
      <c r="J467" s="5"/>
      <c r="K467" s="5"/>
      <c r="L467" s="5"/>
      <c r="M467" s="5"/>
    </row>
    <row r="468" spans="1:13" x14ac:dyDescent="0.25">
      <c r="A468" s="8"/>
      <c r="B468" s="30">
        <v>447</v>
      </c>
      <c r="C468" s="30">
        <v>2.0002197560465786</v>
      </c>
      <c r="D468" s="30">
        <v>2.9992076478867253</v>
      </c>
      <c r="E468" s="30">
        <v>1.1429678402884959E-7</v>
      </c>
      <c r="F468" s="8"/>
      <c r="G468" s="8"/>
      <c r="H468" s="8"/>
      <c r="I468" s="5"/>
      <c r="J468" s="5"/>
      <c r="K468" s="5"/>
      <c r="L468" s="5"/>
      <c r="M468" s="5"/>
    </row>
    <row r="469" spans="1:13" x14ac:dyDescent="0.25">
      <c r="A469" s="8"/>
      <c r="B469" s="30">
        <v>448</v>
      </c>
      <c r="C469" s="30">
        <v>2.0002157300293244</v>
      </c>
      <c r="D469" s="30">
        <v>2.9992221640892556</v>
      </c>
      <c r="E469" s="30">
        <v>1.1014722211216118E-7</v>
      </c>
      <c r="F469" s="8"/>
      <c r="G469" s="8"/>
      <c r="H469" s="8"/>
      <c r="I469" s="5"/>
      <c r="J469" s="5"/>
      <c r="K469" s="5"/>
      <c r="L469" s="5"/>
      <c r="M469" s="5"/>
    </row>
    <row r="470" spans="1:13" x14ac:dyDescent="0.25">
      <c r="A470" s="8"/>
      <c r="B470" s="30">
        <v>449</v>
      </c>
      <c r="C470" s="30">
        <v>2.000211777770291</v>
      </c>
      <c r="D470" s="30">
        <v>2.9992364143492427</v>
      </c>
      <c r="E470" s="30">
        <v>1.0614831066465289E-7</v>
      </c>
      <c r="F470" s="8"/>
      <c r="G470" s="8"/>
      <c r="H470" s="8"/>
      <c r="I470" s="5"/>
      <c r="J470" s="5"/>
      <c r="K470" s="5"/>
      <c r="L470" s="5"/>
      <c r="M470" s="5"/>
    </row>
    <row r="471" spans="1:13" x14ac:dyDescent="0.25">
      <c r="A471" s="8"/>
      <c r="B471" s="30">
        <v>450</v>
      </c>
      <c r="C471" s="30">
        <v>2.0002078979181981</v>
      </c>
      <c r="D471" s="30">
        <v>2.9992504035388592</v>
      </c>
      <c r="E471" s="30">
        <v>1.0229458029794359E-7</v>
      </c>
      <c r="F471" s="8"/>
      <c r="G471" s="8"/>
      <c r="H471" s="8"/>
      <c r="I471" s="5"/>
      <c r="J471" s="5"/>
      <c r="K471" s="5"/>
      <c r="L471" s="5"/>
      <c r="M471" s="5"/>
    </row>
    <row r="472" spans="1:13" x14ac:dyDescent="0.25">
      <c r="A472" s="8"/>
      <c r="B472" s="30">
        <v>451</v>
      </c>
      <c r="C472" s="30">
        <v>2.0002040891465223</v>
      </c>
      <c r="D472" s="30">
        <v>2.9992641364410164</v>
      </c>
      <c r="E472" s="30">
        <v>9.8580760191283866E-8</v>
      </c>
      <c r="F472" s="8"/>
      <c r="G472" s="8"/>
      <c r="H472" s="8"/>
      <c r="I472" s="5"/>
      <c r="J472" s="5"/>
      <c r="K472" s="5"/>
      <c r="L472" s="5"/>
      <c r="M472" s="5"/>
    </row>
    <row r="473" spans="1:13" x14ac:dyDescent="0.25">
      <c r="A473" s="8"/>
      <c r="B473" s="30">
        <v>452</v>
      </c>
      <c r="C473" s="30">
        <v>2.000200350153043</v>
      </c>
      <c r="D473" s="30">
        <v>2.9992776177510017</v>
      </c>
      <c r="E473" s="30">
        <v>9.5001770881746652E-8</v>
      </c>
      <c r="F473" s="8"/>
      <c r="G473" s="8"/>
      <c r="H473" s="8"/>
      <c r="I473" s="5"/>
      <c r="J473" s="5"/>
      <c r="K473" s="5"/>
      <c r="L473" s="5"/>
      <c r="M473" s="5"/>
    </row>
    <row r="474" spans="1:13" x14ac:dyDescent="0.25">
      <c r="A474" s="8"/>
      <c r="B474" s="30">
        <v>453</v>
      </c>
      <c r="C474" s="30">
        <v>2.0001966796593953</v>
      </c>
      <c r="D474" s="30">
        <v>2.999290852078083</v>
      </c>
      <c r="E474" s="30">
        <v>9.1552717316582037E-8</v>
      </c>
      <c r="F474" s="8"/>
      <c r="G474" s="8"/>
      <c r="H474" s="8"/>
      <c r="I474" s="5"/>
      <c r="J474" s="5"/>
      <c r="K474" s="5"/>
      <c r="L474" s="5"/>
      <c r="M474" s="5"/>
    </row>
    <row r="475" spans="1:13" x14ac:dyDescent="0.25">
      <c r="A475" s="8"/>
      <c r="B475" s="30">
        <v>454</v>
      </c>
      <c r="C475" s="30">
        <v>2.0001930764106355</v>
      </c>
      <c r="D475" s="30">
        <v>2.999303843947084</v>
      </c>
      <c r="E475" s="30">
        <v>8.8228882159151916E-8</v>
      </c>
      <c r="F475" s="8"/>
      <c r="G475" s="8"/>
      <c r="H475" s="8"/>
      <c r="I475" s="5"/>
      <c r="J475" s="5"/>
      <c r="K475" s="5"/>
      <c r="L475" s="5"/>
      <c r="M475" s="5"/>
    </row>
    <row r="476" spans="1:13" x14ac:dyDescent="0.25">
      <c r="A476" s="8"/>
      <c r="B476" s="30">
        <v>455</v>
      </c>
      <c r="C476" s="30">
        <v>2.0001895391748112</v>
      </c>
      <c r="D476" s="30">
        <v>2.9993165977999321</v>
      </c>
      <c r="E476" s="30">
        <v>8.5025719336904942E-8</v>
      </c>
      <c r="F476" s="8"/>
      <c r="G476" s="8"/>
      <c r="H476" s="8"/>
      <c r="I476" s="5"/>
      <c r="J476" s="5"/>
      <c r="K476" s="5"/>
      <c r="L476" s="5"/>
      <c r="M476" s="5"/>
    </row>
    <row r="477" spans="1:13" x14ac:dyDescent="0.25">
      <c r="A477" s="8"/>
      <c r="B477" s="30">
        <v>456</v>
      </c>
      <c r="C477" s="30">
        <v>2.0001860667425393</v>
      </c>
      <c r="D477" s="30">
        <v>2.9993291179971773</v>
      </c>
      <c r="E477" s="30">
        <v>8.1938847821840974E-8</v>
      </c>
      <c r="F477" s="8"/>
      <c r="G477" s="8"/>
      <c r="H477" s="8"/>
      <c r="I477" s="5"/>
      <c r="J477" s="5"/>
      <c r="K477" s="5"/>
      <c r="L477" s="5"/>
      <c r="M477" s="5"/>
    </row>
    <row r="478" spans="1:13" x14ac:dyDescent="0.25">
      <c r="A478" s="8"/>
      <c r="B478" s="30">
        <v>457</v>
      </c>
      <c r="C478" s="30">
        <v>2.0001826579265929</v>
      </c>
      <c r="D478" s="30">
        <v>2.9993414088194816</v>
      </c>
      <c r="E478" s="30">
        <v>7.8964045641039745E-8</v>
      </c>
      <c r="F478" s="8"/>
      <c r="G478" s="8"/>
      <c r="H478" s="8"/>
      <c r="I478" s="5"/>
      <c r="J478" s="5"/>
      <c r="K478" s="5"/>
      <c r="L478" s="5"/>
      <c r="M478" s="5"/>
    </row>
    <row r="479" spans="1:13" x14ac:dyDescent="0.25">
      <c r="A479" s="8"/>
      <c r="B479" s="30">
        <v>458</v>
      </c>
      <c r="C479" s="30">
        <v>2.0001793115614959</v>
      </c>
      <c r="D479" s="30">
        <v>2.9993534744690846</v>
      </c>
      <c r="E479" s="30">
        <v>7.6097244100148075E-8</v>
      </c>
      <c r="F479" s="8"/>
      <c r="G479" s="8"/>
      <c r="H479" s="8"/>
      <c r="I479" s="5"/>
      <c r="J479" s="5"/>
      <c r="K479" s="5"/>
      <c r="L479" s="5"/>
      <c r="M479" s="5"/>
    </row>
    <row r="480" spans="1:13" x14ac:dyDescent="0.25">
      <c r="A480" s="8"/>
      <c r="B480" s="30">
        <v>459</v>
      </c>
      <c r="C480" s="30">
        <v>2.0001760265031248</v>
      </c>
      <c r="D480" s="30">
        <v>2.9993653190712388</v>
      </c>
      <c r="E480" s="30">
        <v>7.3334522219988169E-8</v>
      </c>
      <c r="F480" s="8"/>
      <c r="G480" s="8"/>
      <c r="H480" s="8"/>
      <c r="I480" s="5"/>
      <c r="J480" s="5"/>
      <c r="K480" s="5"/>
      <c r="L480" s="5"/>
      <c r="M480" s="5"/>
    </row>
    <row r="481" spans="1:13" x14ac:dyDescent="0.25">
      <c r="A481" s="8"/>
      <c r="B481" s="30">
        <v>460</v>
      </c>
      <c r="C481" s="30">
        <v>2.0001728016283158</v>
      </c>
      <c r="D481" s="30">
        <v>2.9993769466756204</v>
      </c>
      <c r="E481" s="30">
        <v>7.0672101372977255E-8</v>
      </c>
      <c r="F481" s="8"/>
      <c r="G481" s="8"/>
      <c r="H481" s="8"/>
      <c r="I481" s="5"/>
      <c r="J481" s="5"/>
      <c r="K481" s="5"/>
      <c r="L481" s="5"/>
      <c r="M481" s="5"/>
    </row>
    <row r="482" spans="1:13" x14ac:dyDescent="0.25">
      <c r="A482" s="8"/>
      <c r="B482" s="30">
        <v>461</v>
      </c>
      <c r="C482" s="30">
        <v>2.000169635834482</v>
      </c>
      <c r="D482" s="30">
        <v>2.9993883612577137</v>
      </c>
      <c r="E482" s="30">
        <v>6.8106340114332723E-8</v>
      </c>
      <c r="F482" s="8"/>
      <c r="G482" s="8"/>
      <c r="H482" s="8"/>
      <c r="I482" s="5"/>
      <c r="J482" s="5"/>
      <c r="K482" s="5"/>
      <c r="L482" s="5"/>
      <c r="M482" s="5"/>
    </row>
    <row r="483" spans="1:13" x14ac:dyDescent="0.25">
      <c r="A483" s="8"/>
      <c r="B483" s="30">
        <v>462</v>
      </c>
      <c r="C483" s="30">
        <v>2.0001665280392378</v>
      </c>
      <c r="D483" s="30">
        <v>2.9993995667201712</v>
      </c>
      <c r="E483" s="30">
        <v>6.5633729204180469E-8</v>
      </c>
      <c r="F483" s="8"/>
      <c r="G483" s="8"/>
      <c r="H483" s="8"/>
      <c r="I483" s="5"/>
      <c r="J483" s="5"/>
      <c r="K483" s="5"/>
      <c r="L483" s="5"/>
      <c r="M483" s="5"/>
    </row>
    <row r="484" spans="1:13" x14ac:dyDescent="0.25">
      <c r="A484" s="8"/>
      <c r="B484" s="30">
        <v>463</v>
      </c>
      <c r="C484" s="30">
        <v>2.000163477180025</v>
      </c>
      <c r="D484" s="30">
        <v>2.9994105668941464</v>
      </c>
      <c r="E484" s="30">
        <v>6.3250886804477613E-8</v>
      </c>
      <c r="F484" s="8"/>
      <c r="G484" s="8"/>
      <c r="H484" s="8"/>
      <c r="I484" s="5"/>
      <c r="J484" s="5"/>
      <c r="K484" s="5"/>
      <c r="L484" s="5"/>
      <c r="M484" s="5"/>
    </row>
    <row r="485" spans="1:13" x14ac:dyDescent="0.25">
      <c r="A485" s="8"/>
      <c r="B485" s="30">
        <v>464</v>
      </c>
      <c r="C485" s="30">
        <v>2.0001604822137535</v>
      </c>
      <c r="D485" s="30">
        <v>2.9994213655406057</v>
      </c>
      <c r="E485" s="30">
        <v>6.0954553856177037E-8</v>
      </c>
      <c r="F485" s="8"/>
      <c r="G485" s="8"/>
      <c r="H485" s="8"/>
      <c r="I485" s="5"/>
      <c r="J485" s="5"/>
      <c r="K485" s="5"/>
      <c r="L485" s="5"/>
      <c r="M485" s="5"/>
    </row>
    <row r="486" spans="1:13" x14ac:dyDescent="0.25">
      <c r="A486" s="8"/>
      <c r="B486" s="30">
        <v>465</v>
      </c>
      <c r="C486" s="30">
        <v>2.000157542116443</v>
      </c>
      <c r="D486" s="30">
        <v>2.999431966351612</v>
      </c>
      <c r="E486" s="30">
        <v>5.8741589620393687E-8</v>
      </c>
      <c r="F486" s="8"/>
      <c r="G486" s="8"/>
      <c r="H486" s="8"/>
      <c r="I486" s="5"/>
      <c r="J486" s="5"/>
      <c r="K486" s="5"/>
      <c r="L486" s="5"/>
      <c r="M486" s="5"/>
    </row>
    <row r="487" spans="1:13" x14ac:dyDescent="0.25">
      <c r="A487" s="8"/>
      <c r="B487" s="30">
        <v>466</v>
      </c>
      <c r="C487" s="30">
        <v>2.0001546558828722</v>
      </c>
      <c r="D487" s="30">
        <v>2.9994423729515893</v>
      </c>
      <c r="E487" s="30">
        <v>5.66089673837676E-8</v>
      </c>
      <c r="F487" s="8"/>
      <c r="G487" s="8"/>
      <c r="H487" s="8"/>
      <c r="I487" s="5"/>
      <c r="J487" s="5"/>
      <c r="K487" s="5"/>
      <c r="L487" s="5"/>
      <c r="M487" s="5"/>
    </row>
    <row r="488" spans="1:13" x14ac:dyDescent="0.25">
      <c r="A488" s="8"/>
      <c r="B488" s="30">
        <v>467</v>
      </c>
      <c r="C488" s="30">
        <v>2.0001518225262358</v>
      </c>
      <c r="D488" s="30">
        <v>2.9994525888985595</v>
      </c>
      <c r="E488" s="30">
        <v>5.4553770317945364E-8</v>
      </c>
      <c r="F488" s="8"/>
      <c r="G488" s="8"/>
      <c r="H488" s="8"/>
      <c r="I488" s="5"/>
      <c r="J488" s="5"/>
      <c r="K488" s="5"/>
      <c r="L488" s="5"/>
      <c r="M488" s="5"/>
    </row>
    <row r="489" spans="1:13" x14ac:dyDescent="0.25">
      <c r="A489" s="8"/>
      <c r="B489" s="30">
        <v>468</v>
      </c>
      <c r="C489" s="30">
        <v>2.0001490410778087</v>
      </c>
      <c r="D489" s="30">
        <v>2.9994626176853609</v>
      </c>
      <c r="E489" s="30">
        <v>5.2573187490105843E-8</v>
      </c>
      <c r="F489" s="8"/>
      <c r="G489" s="8"/>
      <c r="H489" s="8"/>
      <c r="I489" s="5"/>
      <c r="J489" s="5"/>
      <c r="K489" s="5"/>
      <c r="L489" s="5"/>
      <c r="M489" s="5"/>
    </row>
    <row r="490" spans="1:13" x14ac:dyDescent="0.25">
      <c r="A490" s="8"/>
      <c r="B490" s="30">
        <v>469</v>
      </c>
      <c r="C490" s="30">
        <v>2.0001463105866106</v>
      </c>
      <c r="D490" s="30">
        <v>2.9994724627408416</v>
      </c>
      <c r="E490" s="30">
        <v>5.0664510019761252E-8</v>
      </c>
      <c r="F490" s="8"/>
      <c r="G490" s="8"/>
      <c r="H490" s="8"/>
      <c r="I490" s="5"/>
      <c r="J490" s="5"/>
      <c r="K490" s="5"/>
      <c r="L490" s="5"/>
      <c r="M490" s="5"/>
    </row>
    <row r="491" spans="1:13" x14ac:dyDescent="0.25">
      <c r="A491" s="8"/>
      <c r="B491" s="30">
        <v>470</v>
      </c>
      <c r="C491" s="30">
        <v>2.0001436301190862</v>
      </c>
      <c r="D491" s="30">
        <v>2.9994821274310315</v>
      </c>
      <c r="E491" s="30">
        <v>4.8825127371422941E-8</v>
      </c>
      <c r="F491" s="8"/>
      <c r="G491" s="8"/>
      <c r="H491" s="8"/>
      <c r="I491" s="5"/>
      <c r="J491" s="5"/>
      <c r="K491" s="5"/>
      <c r="L491" s="5"/>
      <c r="M491" s="5"/>
    </row>
    <row r="492" spans="1:13" x14ac:dyDescent="0.25">
      <c r="A492" s="8"/>
      <c r="B492" s="30">
        <v>471</v>
      </c>
      <c r="C492" s="30">
        <v>2.0001409987587819</v>
      </c>
      <c r="D492" s="30">
        <v>2.9994916150602937</v>
      </c>
      <c r="E492" s="30">
        <v>4.7052523786562022E-8</v>
      </c>
      <c r="F492" s="8"/>
      <c r="G492" s="8"/>
      <c r="H492" s="8"/>
      <c r="I492" s="5"/>
      <c r="J492" s="5"/>
      <c r="K492" s="5"/>
      <c r="L492" s="5"/>
      <c r="M492" s="5"/>
    </row>
    <row r="493" spans="1:13" x14ac:dyDescent="0.25">
      <c r="A493" s="8"/>
      <c r="B493" s="30">
        <v>472</v>
      </c>
      <c r="C493" s="30">
        <v>2.0001384156060338</v>
      </c>
      <c r="D493" s="30">
        <v>2.9995009288724543</v>
      </c>
      <c r="E493" s="30">
        <v>4.5344274841199213E-8</v>
      </c>
      <c r="F493" s="8"/>
      <c r="G493" s="8"/>
      <c r="H493" s="8"/>
      <c r="I493" s="5"/>
      <c r="J493" s="5"/>
      <c r="K493" s="5"/>
      <c r="L493" s="5"/>
      <c r="M493" s="5"/>
    </row>
    <row r="494" spans="1:13" x14ac:dyDescent="0.25">
      <c r="A494" s="8"/>
      <c r="B494" s="30">
        <v>473</v>
      </c>
      <c r="C494" s="30">
        <v>2.0001358797776603</v>
      </c>
      <c r="D494" s="30">
        <v>2.999510072051911</v>
      </c>
      <c r="E494" s="30">
        <v>4.3698044130562664E-8</v>
      </c>
      <c r="F494" s="8"/>
      <c r="G494" s="8"/>
      <c r="H494" s="8"/>
      <c r="I494" s="5"/>
      <c r="J494" s="5"/>
      <c r="K494" s="5"/>
      <c r="L494" s="5"/>
      <c r="M494" s="5"/>
    </row>
    <row r="495" spans="1:13" x14ac:dyDescent="0.25">
      <c r="A495" s="8"/>
      <c r="B495" s="30">
        <v>474</v>
      </c>
      <c r="C495" s="30">
        <v>2.0001333904066607</v>
      </c>
      <c r="D495" s="30">
        <v>2.9995190477247218</v>
      </c>
      <c r="E495" s="30">
        <v>4.2111580072823491E-8</v>
      </c>
      <c r="F495" s="8"/>
      <c r="G495" s="8"/>
      <c r="H495" s="8"/>
      <c r="I495" s="5"/>
      <c r="J495" s="5"/>
      <c r="K495" s="5"/>
      <c r="L495" s="5"/>
      <c r="M495" s="5"/>
    </row>
    <row r="496" spans="1:13" x14ac:dyDescent="0.25">
      <c r="A496" s="8"/>
      <c r="B496" s="30">
        <v>475</v>
      </c>
      <c r="C496" s="30">
        <v>2.0001309466419177</v>
      </c>
      <c r="D496" s="30">
        <v>2.9995278589596741</v>
      </c>
      <c r="E496" s="30">
        <v>4.058271283142049E-8</v>
      </c>
      <c r="F496" s="8"/>
      <c r="G496" s="8"/>
      <c r="H496" s="8"/>
      <c r="I496" s="5"/>
      <c r="J496" s="5"/>
      <c r="K496" s="5"/>
      <c r="L496" s="5"/>
      <c r="M496" s="5"/>
    </row>
    <row r="497" spans="1:13" x14ac:dyDescent="0.25">
      <c r="A497" s="8"/>
      <c r="B497" s="30">
        <v>476</v>
      </c>
      <c r="C497" s="30">
        <v>2.0001285476479063</v>
      </c>
      <c r="D497" s="30">
        <v>2.9995365087693346</v>
      </c>
      <c r="E497" s="30">
        <v>3.910935134499853E-8</v>
      </c>
      <c r="F497" s="8"/>
      <c r="G497" s="8"/>
      <c r="H497" s="8"/>
      <c r="I497" s="5"/>
      <c r="J497" s="5"/>
      <c r="K497" s="5"/>
      <c r="L497" s="5"/>
      <c r="M497" s="5"/>
    </row>
    <row r="498" spans="1:13" x14ac:dyDescent="0.25">
      <c r="A498" s="8"/>
      <c r="B498" s="30">
        <v>477</v>
      </c>
      <c r="C498" s="30">
        <v>2.0001261926044087</v>
      </c>
      <c r="D498" s="30">
        <v>2.9995450001110786</v>
      </c>
      <c r="E498" s="30">
        <v>3.7689480468478989E-8</v>
      </c>
      <c r="F498" s="8"/>
      <c r="G498" s="8"/>
      <c r="H498" s="8"/>
      <c r="I498" s="5"/>
      <c r="J498" s="5"/>
      <c r="K498" s="5"/>
      <c r="L498" s="5"/>
      <c r="M498" s="5"/>
    </row>
    <row r="499" spans="1:13" x14ac:dyDescent="0.25">
      <c r="A499" s="8"/>
      <c r="B499" s="30">
        <v>478</v>
      </c>
      <c r="C499" s="30">
        <v>2.0001238807062354</v>
      </c>
      <c r="D499" s="30">
        <v>2.9995533358881001</v>
      </c>
      <c r="E499" s="30">
        <v>3.6321158217511657E-8</v>
      </c>
      <c r="F499" s="8"/>
      <c r="G499" s="8"/>
      <c r="H499" s="8"/>
      <c r="I499" s="5"/>
      <c r="J499" s="5"/>
      <c r="K499" s="5"/>
      <c r="L499" s="5"/>
      <c r="M499" s="5"/>
    </row>
    <row r="500" spans="1:13" x14ac:dyDescent="0.25">
      <c r="A500" s="8"/>
      <c r="B500" s="30">
        <v>479</v>
      </c>
      <c r="C500" s="30">
        <v>2.0001216111629465</v>
      </c>
      <c r="D500" s="30">
        <v>2.9995615189504061</v>
      </c>
      <c r="E500" s="30">
        <v>3.5002513111483306E-8</v>
      </c>
      <c r="F500" s="8"/>
      <c r="G500" s="8"/>
      <c r="H500" s="8"/>
      <c r="I500" s="5"/>
      <c r="J500" s="5"/>
      <c r="K500" s="5"/>
      <c r="L500" s="5"/>
      <c r="M500" s="5"/>
    </row>
    <row r="501" spans="1:13" x14ac:dyDescent="0.25">
      <c r="A501" s="8"/>
      <c r="B501" s="30">
        <v>480</v>
      </c>
      <c r="C501" s="30">
        <v>2.0001193831985837</v>
      </c>
      <c r="D501" s="30">
        <v>2.9995695520957906</v>
      </c>
      <c r="E501" s="30">
        <v>3.3731741614087605E-8</v>
      </c>
      <c r="F501" s="8"/>
      <c r="G501" s="8"/>
      <c r="H501" s="8"/>
      <c r="I501" s="5"/>
      <c r="J501" s="5"/>
      <c r="K501" s="5"/>
      <c r="L501" s="5"/>
      <c r="M501" s="5"/>
    </row>
    <row r="502" spans="1:13" x14ac:dyDescent="0.25">
      <c r="A502" s="8"/>
      <c r="B502" s="30">
        <v>481</v>
      </c>
      <c r="C502" s="30">
        <v>2.0001171960514044</v>
      </c>
      <c r="D502" s="30">
        <v>2.9995774380707902</v>
      </c>
      <c r="E502" s="30">
        <v>3.2507105666841813E-8</v>
      </c>
      <c r="F502" s="8"/>
      <c r="G502" s="8"/>
      <c r="H502" s="8"/>
      <c r="I502" s="5"/>
      <c r="J502" s="5"/>
      <c r="K502" s="5"/>
      <c r="L502" s="5"/>
      <c r="M502" s="5"/>
    </row>
    <row r="503" spans="1:13" x14ac:dyDescent="0.25">
      <c r="A503" s="8"/>
      <c r="B503" s="30">
        <v>482</v>
      </c>
      <c r="C503" s="30">
        <v>2.0001150489736226</v>
      </c>
      <c r="D503" s="30">
        <v>2.9995851795716244</v>
      </c>
      <c r="E503" s="30">
        <v>3.1326930311603394E-8</v>
      </c>
      <c r="F503" s="8"/>
      <c r="G503" s="8"/>
      <c r="H503" s="8"/>
      <c r="I503" s="5"/>
      <c r="J503" s="5"/>
      <c r="K503" s="5"/>
      <c r="L503" s="5"/>
      <c r="M503" s="5"/>
    </row>
    <row r="504" spans="1:13" x14ac:dyDescent="0.25">
      <c r="A504" s="8"/>
      <c r="B504" s="30">
        <v>483</v>
      </c>
      <c r="C504" s="30">
        <v>2.0001129412311505</v>
      </c>
      <c r="D504" s="30">
        <v>2.9995927792451167</v>
      </c>
      <c r="E504" s="30">
        <v>3.0189601400074324E-8</v>
      </c>
      <c r="F504" s="8"/>
      <c r="G504" s="8"/>
      <c r="H504" s="8"/>
      <c r="I504" s="5"/>
      <c r="J504" s="5"/>
      <c r="K504" s="5"/>
      <c r="L504" s="5"/>
      <c r="M504" s="5"/>
    </row>
    <row r="505" spans="1:13" x14ac:dyDescent="0.25">
      <c r="A505" s="8"/>
      <c r="B505" s="30">
        <v>484</v>
      </c>
      <c r="C505" s="30">
        <v>2.0001108721033498</v>
      </c>
      <c r="D505" s="30">
        <v>2.9996002396896002</v>
      </c>
      <c r="E505" s="30">
        <v>2.9093563385482843E-8</v>
      </c>
      <c r="F505" s="8"/>
      <c r="G505" s="8"/>
      <c r="H505" s="8"/>
      <c r="I505" s="5"/>
      <c r="J505" s="5"/>
      <c r="K505" s="5"/>
      <c r="L505" s="5"/>
      <c r="M505" s="5"/>
    </row>
    <row r="506" spans="1:13" x14ac:dyDescent="0.25">
      <c r="A506" s="8"/>
      <c r="B506" s="30">
        <v>485</v>
      </c>
      <c r="C506" s="30">
        <v>2.0001088408827852</v>
      </c>
      <c r="D506" s="30">
        <v>2.9996075634558048</v>
      </c>
      <c r="E506" s="30">
        <v>2.8037317195630743E-8</v>
      </c>
      <c r="F506" s="8"/>
      <c r="G506" s="8"/>
      <c r="H506" s="8"/>
      <c r="I506" s="5"/>
      <c r="J506" s="5"/>
      <c r="K506" s="5"/>
      <c r="L506" s="5"/>
      <c r="M506" s="5"/>
    </row>
    <row r="507" spans="1:13" x14ac:dyDescent="0.25">
      <c r="A507" s="8"/>
      <c r="B507" s="30">
        <v>486</v>
      </c>
      <c r="C507" s="30">
        <v>2.0001068468749796</v>
      </c>
      <c r="D507" s="30">
        <v>2.9996147530477306</v>
      </c>
      <c r="E507" s="30">
        <v>2.7019418182483696E-8</v>
      </c>
      <c r="F507" s="8"/>
      <c r="G507" s="8"/>
      <c r="H507" s="8"/>
      <c r="I507" s="5"/>
      <c r="J507" s="5"/>
      <c r="K507" s="5"/>
      <c r="L507" s="5"/>
      <c r="M507" s="5"/>
    </row>
    <row r="508" spans="1:13" x14ac:dyDescent="0.25">
      <c r="A508" s="8"/>
      <c r="B508" s="30">
        <v>487</v>
      </c>
      <c r="C508" s="30">
        <v>2.000104889398183</v>
      </c>
      <c r="D508" s="30">
        <v>2.9996218109235024</v>
      </c>
      <c r="E508" s="30">
        <v>2.6038474145894738E-8</v>
      </c>
      <c r="F508" s="8"/>
      <c r="G508" s="8"/>
      <c r="H508" s="8"/>
      <c r="I508" s="5"/>
      <c r="J508" s="5"/>
      <c r="K508" s="5"/>
      <c r="L508" s="5"/>
      <c r="M508" s="5"/>
    </row>
    <row r="509" spans="1:13" x14ac:dyDescent="0.25">
      <c r="A509" s="8"/>
      <c r="B509" s="30">
        <v>488</v>
      </c>
      <c r="C509" s="30">
        <v>2.000102967783131</v>
      </c>
      <c r="D509" s="30">
        <v>2.9996287394962127</v>
      </c>
      <c r="E509" s="30">
        <v>2.5093143430097166E-8</v>
      </c>
      <c r="F509" s="8"/>
      <c r="G509" s="8"/>
      <c r="H509" s="8"/>
      <c r="I509" s="5"/>
      <c r="J509" s="5"/>
      <c r="K509" s="5"/>
      <c r="L509" s="5"/>
      <c r="M509" s="5"/>
    </row>
    <row r="510" spans="1:13" x14ac:dyDescent="0.25">
      <c r="A510" s="8"/>
      <c r="B510" s="30">
        <v>489</v>
      </c>
      <c r="C510" s="30">
        <v>2.0001010813728231</v>
      </c>
      <c r="D510" s="30">
        <v>2.9996355411347446</v>
      </c>
      <c r="E510" s="30">
        <v>2.4182133087572834E-8</v>
      </c>
      <c r="F510" s="8"/>
      <c r="G510" s="8"/>
      <c r="H510" s="8"/>
      <c r="I510" s="5"/>
      <c r="J510" s="5"/>
      <c r="K510" s="5"/>
      <c r="L510" s="5"/>
      <c r="M510" s="5"/>
    </row>
    <row r="511" spans="1:13" x14ac:dyDescent="0.25">
      <c r="A511" s="8"/>
      <c r="B511" s="30">
        <v>490</v>
      </c>
      <c r="C511" s="30">
        <v>2.0000992295222946</v>
      </c>
      <c r="D511" s="30">
        <v>2.9996422181645817</v>
      </c>
      <c r="E511" s="30">
        <v>2.3304197112779407E-8</v>
      </c>
      <c r="F511" s="8"/>
      <c r="G511" s="8"/>
      <c r="H511" s="8"/>
      <c r="I511" s="5"/>
      <c r="J511" s="5"/>
      <c r="K511" s="5"/>
      <c r="L511" s="5"/>
      <c r="M511" s="5"/>
    </row>
    <row r="512" spans="1:13" x14ac:dyDescent="0.25">
      <c r="A512" s="8"/>
      <c r="B512" s="30">
        <v>491</v>
      </c>
      <c r="C512" s="30">
        <v>2.000097411598396</v>
      </c>
      <c r="D512" s="30">
        <v>2.9996487728686048</v>
      </c>
      <c r="E512" s="30">
        <v>2.2458134735399459E-8</v>
      </c>
      <c r="F512" s="8"/>
      <c r="G512" s="8"/>
      <c r="H512" s="8"/>
      <c r="I512" s="5"/>
      <c r="J512" s="5"/>
      <c r="K512" s="5"/>
      <c r="L512" s="5"/>
      <c r="M512" s="5"/>
    </row>
    <row r="513" spans="1:13" x14ac:dyDescent="0.25">
      <c r="A513" s="8"/>
      <c r="B513" s="30">
        <v>492</v>
      </c>
      <c r="C513" s="30">
        <v>2.0000956269795789</v>
      </c>
      <c r="D513" s="30">
        <v>2.9996552074878706</v>
      </c>
      <c r="E513" s="30">
        <v>2.1642788779662712E-8</v>
      </c>
      <c r="F513" s="8"/>
      <c r="G513" s="8"/>
      <c r="H513" s="8"/>
      <c r="I513" s="5"/>
      <c r="J513" s="5"/>
      <c r="K513" s="5"/>
      <c r="L513" s="5"/>
      <c r="M513" s="5"/>
    </row>
    <row r="514" spans="1:13" x14ac:dyDescent="0.25">
      <c r="A514" s="8"/>
      <c r="B514" s="30">
        <v>493</v>
      </c>
      <c r="C514" s="30">
        <v>2.0000938750556809</v>
      </c>
      <c r="D514" s="30">
        <v>2.9996615242223794</v>
      </c>
      <c r="E514" s="30">
        <v>2.0857044081313707E-8</v>
      </c>
      <c r="F514" s="8"/>
      <c r="G514" s="8"/>
      <c r="H514" s="8"/>
      <c r="I514" s="5"/>
      <c r="J514" s="5"/>
      <c r="K514" s="5"/>
      <c r="L514" s="5"/>
      <c r="M514" s="5"/>
    </row>
    <row r="515" spans="1:13" x14ac:dyDescent="0.25">
      <c r="A515" s="8"/>
      <c r="B515" s="30">
        <v>494</v>
      </c>
      <c r="C515" s="30">
        <v>2.0000921552277182</v>
      </c>
      <c r="D515" s="30">
        <v>2.9996677252318258</v>
      </c>
      <c r="E515" s="30">
        <v>2.0099825962303519E-8</v>
      </c>
      <c r="F515" s="8"/>
      <c r="G515" s="8"/>
      <c r="H515" s="8"/>
      <c r="I515" s="5"/>
      <c r="J515" s="5"/>
      <c r="K515" s="5"/>
      <c r="L515" s="5"/>
      <c r="M515" s="5"/>
    </row>
    <row r="516" spans="1:13" x14ac:dyDescent="0.25">
      <c r="A516" s="8"/>
      <c r="B516" s="30">
        <v>495</v>
      </c>
      <c r="C516" s="30">
        <v>2.0000904669076802</v>
      </c>
      <c r="D516" s="30">
        <v>2.9996738126363391</v>
      </c>
      <c r="E516" s="30">
        <v>1.9370098760950854E-8</v>
      </c>
      <c r="F516" s="8"/>
      <c r="G516" s="8"/>
      <c r="H516" s="8"/>
      <c r="I516" s="5"/>
      <c r="J516" s="5"/>
      <c r="K516" s="5"/>
      <c r="L516" s="5"/>
      <c r="M516" s="5"/>
    </row>
    <row r="517" spans="1:13" x14ac:dyDescent="0.25">
      <c r="A517" s="8"/>
      <c r="B517" s="30">
        <v>496</v>
      </c>
      <c r="C517" s="30">
        <v>2.0000888095183305</v>
      </c>
      <c r="D517" s="30">
        <v>2.9996797885172062</v>
      </c>
      <c r="E517" s="30">
        <v>1.8666864415169408E-8</v>
      </c>
      <c r="F517" s="8"/>
      <c r="G517" s="8"/>
      <c r="H517" s="8"/>
      <c r="I517" s="5"/>
      <c r="J517" s="5"/>
      <c r="K517" s="5"/>
      <c r="L517" s="5"/>
      <c r="M517" s="5"/>
    </row>
    <row r="518" spans="1:13" x14ac:dyDescent="0.25">
      <c r="A518" s="8"/>
      <c r="B518" s="30">
        <v>497</v>
      </c>
      <c r="C518" s="30">
        <v>2.0000871824930049</v>
      </c>
      <c r="D518" s="30">
        <v>2.9996856549175841</v>
      </c>
      <c r="E518" s="30">
        <v>1.7989161098020914E-8</v>
      </c>
      <c r="F518" s="8"/>
      <c r="G518" s="8"/>
      <c r="H518" s="8"/>
      <c r="I518" s="5"/>
      <c r="J518" s="5"/>
      <c r="K518" s="5"/>
      <c r="L518" s="5"/>
      <c r="M518" s="5"/>
    </row>
    <row r="519" spans="1:13" x14ac:dyDescent="0.25">
      <c r="A519" s="8"/>
      <c r="B519" s="30">
        <v>498</v>
      </c>
      <c r="C519" s="30">
        <v>2.000085585275424</v>
      </c>
      <c r="D519" s="30">
        <v>2.9996914138431983</v>
      </c>
      <c r="E519" s="30">
        <v>1.7336061901687067E-8</v>
      </c>
      <c r="F519" s="8"/>
      <c r="G519" s="8"/>
      <c r="H519" s="8"/>
      <c r="I519" s="5"/>
      <c r="J519" s="5"/>
      <c r="K519" s="5"/>
      <c r="L519" s="5"/>
      <c r="M519" s="5"/>
    </row>
    <row r="520" spans="1:13" x14ac:dyDescent="0.25">
      <c r="A520" s="8"/>
      <c r="B520" s="30">
        <v>499</v>
      </c>
      <c r="C520" s="30">
        <v>2.000084017319498</v>
      </c>
      <c r="D520" s="30">
        <v>2.9996970672630292</v>
      </c>
      <c r="E520" s="30">
        <v>1.6706673569628417E-8</v>
      </c>
      <c r="F520" s="8"/>
      <c r="G520" s="8"/>
      <c r="H520" s="8"/>
      <c r="I520" s="5"/>
      <c r="J520" s="5"/>
      <c r="K520" s="5"/>
      <c r="L520" s="5"/>
      <c r="M520" s="5"/>
    </row>
    <row r="521" spans="1:13" x14ac:dyDescent="0.25">
      <c r="A521" s="8"/>
      <c r="B521" s="30">
        <v>500</v>
      </c>
      <c r="C521" s="30">
        <v>2.0000824780891415</v>
      </c>
      <c r="D521" s="30">
        <v>2.9997026171099841</v>
      </c>
      <c r="E521" s="30">
        <v>1.61001352755554E-8</v>
      </c>
      <c r="F521" s="8"/>
      <c r="G521" s="8"/>
      <c r="H521" s="8"/>
      <c r="I521" s="5"/>
      <c r="J521" s="5"/>
      <c r="K521" s="5"/>
      <c r="L521" s="5"/>
      <c r="M521" s="5"/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ient_descent">
                <anchor moveWithCells="1" sizeWithCells="1">
                  <from>
                    <xdr:col>9</xdr:col>
                    <xdr:colOff>66675</xdr:colOff>
                    <xdr:row>21</xdr:row>
                    <xdr:rowOff>85725</xdr:rowOff>
                  </from>
                  <to>
                    <xdr:col>11</xdr:col>
                    <xdr:colOff>57150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old">
                <anchor moveWithCells="1" sizeWithCells="1">
                  <from>
                    <xdr:col>11</xdr:col>
                    <xdr:colOff>295275</xdr:colOff>
                    <xdr:row>21</xdr:row>
                    <xdr:rowOff>76200</xdr:rowOff>
                  </from>
                  <to>
                    <xdr:col>12</xdr:col>
                    <xdr:colOff>504825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_zeros">
                <anchor moveWithCells="1" sizeWithCells="1">
                  <from>
                    <xdr:col>13</xdr:col>
                    <xdr:colOff>95250</xdr:colOff>
                    <xdr:row>21</xdr:row>
                    <xdr:rowOff>47625</xdr:rowOff>
                  </from>
                  <to>
                    <xdr:col>15</xdr:col>
                    <xdr:colOff>419100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8765-7161-4510-A912-8E0FA72B1147}">
  <sheetPr codeName="Sheet2"/>
  <dimension ref="A1:AC521"/>
  <sheetViews>
    <sheetView tabSelected="1" zoomScale="90" zoomScaleNormal="90" workbookViewId="0">
      <selection activeCell="J18" sqref="J18"/>
    </sheetView>
  </sheetViews>
  <sheetFormatPr defaultRowHeight="15" x14ac:dyDescent="0.25"/>
  <cols>
    <col min="1" max="1" width="5.42578125" customWidth="1"/>
    <col min="2" max="2" width="13.85546875" customWidth="1"/>
    <col min="3" max="3" width="11.28515625" customWidth="1"/>
    <col min="5" max="5" width="10.85546875" bestFit="1" customWidth="1"/>
    <col min="6" max="6" width="9.85546875" bestFit="1" customWidth="1"/>
    <col min="14" max="15" width="3.42578125" customWidth="1"/>
    <col min="16" max="16" width="13.28515625" customWidth="1"/>
    <col min="18" max="18" width="18.140625" bestFit="1" customWidth="1"/>
    <col min="28" max="28" width="9.28515625" customWidth="1"/>
  </cols>
  <sheetData>
    <row r="1" spans="1:29" ht="66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</row>
    <row r="2" spans="1:29" ht="15.75" thickBo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29" ht="19.5" thickBot="1" x14ac:dyDescent="0.3">
      <c r="A3" s="8"/>
      <c r="B3" s="3" t="s">
        <v>8</v>
      </c>
      <c r="C3" s="9">
        <v>1</v>
      </c>
      <c r="D3" s="10">
        <v>1.2</v>
      </c>
      <c r="E3" s="10">
        <v>2</v>
      </c>
      <c r="F3" s="10">
        <v>2.1</v>
      </c>
      <c r="G3" s="10">
        <v>2.5</v>
      </c>
      <c r="H3" s="11">
        <v>3.1</v>
      </c>
      <c r="I3" s="11">
        <v>3.5</v>
      </c>
      <c r="J3" s="11">
        <v>4</v>
      </c>
      <c r="K3" s="11">
        <v>4.2</v>
      </c>
      <c r="L3" s="12">
        <v>4.5999999999999996</v>
      </c>
      <c r="M3" s="13">
        <v>5</v>
      </c>
      <c r="N3" s="14"/>
      <c r="O3" s="25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29" ht="19.5" thickBot="1" x14ac:dyDescent="0.3">
      <c r="A4" s="8"/>
      <c r="B4" s="3" t="s">
        <v>2</v>
      </c>
      <c r="C4" s="15">
        <v>4</v>
      </c>
      <c r="D4" s="16">
        <v>5.5</v>
      </c>
      <c r="E4" s="16">
        <v>6</v>
      </c>
      <c r="F4" s="16">
        <v>7</v>
      </c>
      <c r="G4" s="16">
        <v>8.5</v>
      </c>
      <c r="H4" s="17">
        <v>7.2</v>
      </c>
      <c r="I4" s="17">
        <v>9</v>
      </c>
      <c r="J4" s="17">
        <v>11.4</v>
      </c>
      <c r="K4" s="17">
        <v>11</v>
      </c>
      <c r="L4" s="18">
        <v>12.5</v>
      </c>
      <c r="M4" s="19">
        <v>13</v>
      </c>
      <c r="N4" s="14"/>
      <c r="O4" s="25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9" ht="15.75" thickBot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</row>
    <row r="6" spans="1:29" ht="19.5" thickBot="1" x14ac:dyDescent="0.3">
      <c r="A6" s="8"/>
      <c r="B6" s="3" t="s">
        <v>12</v>
      </c>
      <c r="C6" s="8"/>
      <c r="D6" s="3" t="s">
        <v>5</v>
      </c>
      <c r="E6" s="20">
        <v>0</v>
      </c>
      <c r="F6" s="3" t="s">
        <v>6</v>
      </c>
      <c r="G6" s="20">
        <v>0</v>
      </c>
      <c r="H6" s="21"/>
      <c r="I6" s="8"/>
      <c r="J6" s="8"/>
      <c r="K6" s="8"/>
      <c r="L6" s="8"/>
      <c r="M6" s="8"/>
      <c r="N6" s="8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</row>
    <row r="7" spans="1:29" ht="15.75" thickBot="1" x14ac:dyDescent="0.3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29" ht="19.5" thickBot="1" x14ac:dyDescent="0.3">
      <c r="A8" s="8"/>
      <c r="B8" s="3" t="s">
        <v>3</v>
      </c>
      <c r="C8" s="9">
        <f>(Sheet2!m_curr *C3) + Sheet2!b_curr</f>
        <v>0</v>
      </c>
      <c r="D8" s="10">
        <f>(Sheet2!m_curr *D3) + Sheet2!b_curr</f>
        <v>0</v>
      </c>
      <c r="E8" s="10">
        <f>(Sheet2!m_curr *E3) + Sheet2!b_curr</f>
        <v>0</v>
      </c>
      <c r="F8" s="10">
        <f>(Sheet2!m_curr *F3) + Sheet2!b_curr</f>
        <v>0</v>
      </c>
      <c r="G8" s="10">
        <f>(Sheet2!m_curr *G3) + Sheet2!b_curr</f>
        <v>0</v>
      </c>
      <c r="H8" s="11">
        <f>(Sheet2!m_curr *H3) + Sheet2!b_curr</f>
        <v>0</v>
      </c>
      <c r="I8" s="11">
        <f>(Sheet2!m_curr *I3) + Sheet2!b_curr</f>
        <v>0</v>
      </c>
      <c r="J8" s="11">
        <f>(Sheet2!m_curr *J3) + Sheet2!b_curr</f>
        <v>0</v>
      </c>
      <c r="K8" s="11">
        <f>(Sheet2!m_curr *K3) + Sheet2!b_curr</f>
        <v>0</v>
      </c>
      <c r="L8" s="12">
        <f>(Sheet2!m_curr *L3) + Sheet2!b_curr</f>
        <v>0</v>
      </c>
      <c r="M8" s="13">
        <f>(Sheet2!m_curr *M3) + Sheet2!b_curr</f>
        <v>0</v>
      </c>
      <c r="N8" s="14"/>
      <c r="O8" s="2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.75" thickBot="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</row>
    <row r="10" spans="1:29" ht="19.5" thickBot="1" x14ac:dyDescent="0.3">
      <c r="A10" s="8"/>
      <c r="B10" s="3" t="s">
        <v>4</v>
      </c>
      <c r="C10" s="9">
        <f>(C4-C8)</f>
        <v>4</v>
      </c>
      <c r="D10" s="10">
        <f t="shared" ref="D10:M10" si="0">(D4-D8)</f>
        <v>5.5</v>
      </c>
      <c r="E10" s="10">
        <f t="shared" si="0"/>
        <v>6</v>
      </c>
      <c r="F10" s="10">
        <f t="shared" si="0"/>
        <v>7</v>
      </c>
      <c r="G10" s="10">
        <f t="shared" si="0"/>
        <v>8.5</v>
      </c>
      <c r="H10" s="11">
        <f t="shared" si="0"/>
        <v>7.2</v>
      </c>
      <c r="I10" s="11">
        <f t="shared" si="0"/>
        <v>9</v>
      </c>
      <c r="J10" s="11">
        <f t="shared" si="0"/>
        <v>11.4</v>
      </c>
      <c r="K10" s="11">
        <f t="shared" si="0"/>
        <v>11</v>
      </c>
      <c r="L10" s="12">
        <f t="shared" si="0"/>
        <v>12.5</v>
      </c>
      <c r="M10" s="13">
        <f t="shared" si="0"/>
        <v>13</v>
      </c>
      <c r="N10" s="14"/>
      <c r="O10" s="25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29" ht="15.75" thickBot="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29" ht="19.5" thickBot="1" x14ac:dyDescent="0.3">
      <c r="A12" s="8"/>
      <c r="B12" s="3" t="s">
        <v>16</v>
      </c>
      <c r="C12" s="9">
        <f>C10^2</f>
        <v>16</v>
      </c>
      <c r="D12" s="10">
        <f>D10^2</f>
        <v>30.25</v>
      </c>
      <c r="E12" s="10">
        <f>E10^2</f>
        <v>36</v>
      </c>
      <c r="F12" s="10">
        <f>F10^2</f>
        <v>49</v>
      </c>
      <c r="G12" s="10">
        <f>G10^2</f>
        <v>72.25</v>
      </c>
      <c r="H12" s="11">
        <f t="shared" ref="H12:M12" si="1">H10^2</f>
        <v>51.84</v>
      </c>
      <c r="I12" s="11">
        <f t="shared" si="1"/>
        <v>81</v>
      </c>
      <c r="J12" s="11">
        <f t="shared" si="1"/>
        <v>129.96</v>
      </c>
      <c r="K12" s="11">
        <f t="shared" si="1"/>
        <v>121</v>
      </c>
      <c r="L12" s="12">
        <f t="shared" si="1"/>
        <v>156.25</v>
      </c>
      <c r="M12" s="13">
        <f t="shared" si="1"/>
        <v>169</v>
      </c>
      <c r="N12" s="14"/>
      <c r="O12" s="25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</row>
    <row r="13" spans="1:29" ht="15.75" thickBot="1" x14ac:dyDescent="0.3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</row>
    <row r="14" spans="1:29" ht="19.5" thickBot="1" x14ac:dyDescent="0.3">
      <c r="A14" s="8"/>
      <c r="B14" s="3" t="s">
        <v>13</v>
      </c>
      <c r="C14" s="9">
        <f>C3*C10</f>
        <v>4</v>
      </c>
      <c r="D14" s="10">
        <f t="shared" ref="D14:M14" si="2">D3*D10</f>
        <v>6.6</v>
      </c>
      <c r="E14" s="10">
        <f t="shared" si="2"/>
        <v>12</v>
      </c>
      <c r="F14" s="10">
        <f t="shared" si="2"/>
        <v>14.700000000000001</v>
      </c>
      <c r="G14" s="10">
        <f t="shared" si="2"/>
        <v>21.25</v>
      </c>
      <c r="H14" s="11">
        <f t="shared" si="2"/>
        <v>22.32</v>
      </c>
      <c r="I14" s="11">
        <f t="shared" si="2"/>
        <v>31.5</v>
      </c>
      <c r="J14" s="11">
        <f t="shared" si="2"/>
        <v>45.6</v>
      </c>
      <c r="K14" s="11">
        <f t="shared" si="2"/>
        <v>46.2</v>
      </c>
      <c r="L14" s="12">
        <f t="shared" si="2"/>
        <v>57.499999999999993</v>
      </c>
      <c r="M14" s="13">
        <f t="shared" si="2"/>
        <v>65</v>
      </c>
      <c r="N14" s="14"/>
      <c r="O14" s="25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</row>
    <row r="15" spans="1:29" ht="15.75" thickBo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</row>
    <row r="16" spans="1:29" ht="19.5" thickBot="1" x14ac:dyDescent="0.3">
      <c r="A16" s="8"/>
      <c r="B16" s="8"/>
      <c r="C16" s="3" t="s">
        <v>14</v>
      </c>
      <c r="D16" s="20">
        <f>SUM(C14:M14)*(-2/COUNT(x_act))</f>
        <v>-59.394545454545458</v>
      </c>
      <c r="E16" s="8"/>
      <c r="F16" s="3" t="s">
        <v>15</v>
      </c>
      <c r="G16" s="20">
        <f>SUM(C10:M10)*(-2/COUNT(x_act))</f>
        <v>-17.290909090909089</v>
      </c>
      <c r="H16" s="8"/>
      <c r="I16" s="8"/>
      <c r="J16" s="8"/>
      <c r="K16" s="8"/>
      <c r="L16" s="8"/>
      <c r="M16" s="8"/>
      <c r="N16" s="8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</row>
    <row r="17" spans="1:29" s="5" customFormat="1" ht="19.5" thickBot="1" x14ac:dyDescent="0.3">
      <c r="A17" s="8"/>
      <c r="B17" s="8"/>
      <c r="C17" s="22"/>
      <c r="D17" s="14"/>
      <c r="E17" s="8"/>
      <c r="F17" s="23"/>
      <c r="G17" s="14"/>
      <c r="H17" s="8"/>
      <c r="I17" s="8"/>
      <c r="J17" s="8"/>
      <c r="K17" s="8"/>
      <c r="L17" s="8"/>
      <c r="M17" s="8"/>
      <c r="N17" s="8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</row>
    <row r="18" spans="1:29" ht="19.5" thickBot="1" x14ac:dyDescent="0.3">
      <c r="A18" s="8"/>
      <c r="B18" s="3" t="s">
        <v>7</v>
      </c>
      <c r="C18" s="20">
        <f t="array" ref="C18">SUM(C10:M10*C10:M10)/COUNT(C3:M3)</f>
        <v>82.959090909090918</v>
      </c>
      <c r="D18" s="20">
        <f>SUM(C12:M12)/COUNT(C3:M3)</f>
        <v>82.959090909090918</v>
      </c>
      <c r="E18" s="14"/>
      <c r="F18" s="14"/>
      <c r="G18" s="14"/>
      <c r="H18" s="8"/>
      <c r="I18" s="8"/>
      <c r="J18" s="8"/>
      <c r="K18" s="8"/>
      <c r="L18" s="8"/>
      <c r="M18" s="8"/>
      <c r="N18" s="8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 spans="1:29" ht="17.25" customHeight="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7"/>
    </row>
    <row r="20" spans="1:29" ht="15.75" thickBo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</row>
    <row r="21" spans="1:29" ht="19.5" thickBot="1" x14ac:dyDescent="0.3">
      <c r="A21" s="8"/>
      <c r="B21" s="3" t="s">
        <v>9</v>
      </c>
      <c r="C21" s="1" t="s">
        <v>0</v>
      </c>
      <c r="D21" s="1" t="s">
        <v>1</v>
      </c>
      <c r="E21" s="3" t="s">
        <v>7</v>
      </c>
      <c r="F21" s="8"/>
      <c r="G21" s="8"/>
      <c r="H21" s="8"/>
      <c r="I21" s="8"/>
      <c r="J21" s="8"/>
      <c r="K21" s="8"/>
      <c r="L21" s="8"/>
      <c r="M21" s="8"/>
      <c r="N21" s="8"/>
      <c r="O21" s="6"/>
      <c r="P21" s="24" t="s">
        <v>10</v>
      </c>
      <c r="Q21" s="2">
        <v>500</v>
      </c>
      <c r="R21" s="4" t="s">
        <v>11</v>
      </c>
      <c r="S21" s="2">
        <v>0.05</v>
      </c>
      <c r="T21" s="6"/>
      <c r="U21" s="6"/>
      <c r="V21" s="6"/>
      <c r="W21" s="6"/>
      <c r="X21" s="6"/>
      <c r="Y21" s="6"/>
      <c r="Z21" s="6"/>
      <c r="AA21" s="6"/>
      <c r="AB21" s="6"/>
      <c r="AC21" s="6"/>
    </row>
    <row r="22" spans="1:29" x14ac:dyDescent="0.25">
      <c r="A22" s="8"/>
      <c r="B22" s="26"/>
      <c r="C22" s="26"/>
      <c r="D22" s="26"/>
      <c r="E22" s="26"/>
      <c r="F22" s="8"/>
      <c r="G22" s="8"/>
      <c r="H22" s="8"/>
      <c r="I22" s="8"/>
      <c r="J22" s="8"/>
      <c r="K22" s="8"/>
      <c r="L22" s="8"/>
      <c r="M22" s="8"/>
      <c r="N22" s="8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1:29" x14ac:dyDescent="0.25">
      <c r="A23" s="8"/>
      <c r="B23" s="27"/>
      <c r="C23" s="27"/>
      <c r="D23" s="27"/>
      <c r="E23" s="27"/>
      <c r="F23" s="8"/>
      <c r="G23" s="8"/>
      <c r="H23" s="8"/>
      <c r="I23" s="8"/>
      <c r="J23" s="8"/>
      <c r="K23" s="8"/>
      <c r="L23" s="8"/>
      <c r="M23" s="8"/>
      <c r="N23" s="8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</row>
    <row r="24" spans="1:29" x14ac:dyDescent="0.25">
      <c r="A24" s="8"/>
      <c r="B24" s="27"/>
      <c r="C24" s="27"/>
      <c r="D24" s="27"/>
      <c r="E24" s="27"/>
      <c r="F24" s="8"/>
      <c r="G24" s="8"/>
      <c r="H24" s="8"/>
      <c r="I24" s="8"/>
      <c r="J24" s="8"/>
      <c r="K24" s="8"/>
      <c r="L24" s="8"/>
      <c r="M24" s="8"/>
      <c r="N24" s="8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</row>
    <row r="25" spans="1:29" x14ac:dyDescent="0.25">
      <c r="A25" s="8"/>
      <c r="B25" s="27"/>
      <c r="C25" s="27"/>
      <c r="D25" s="27"/>
      <c r="E25" s="27"/>
      <c r="F25" s="8"/>
      <c r="G25" s="8"/>
      <c r="H25" s="8"/>
      <c r="I25" s="8"/>
      <c r="J25" s="8"/>
      <c r="K25" s="8"/>
      <c r="L25" s="8"/>
      <c r="M25" s="8"/>
      <c r="N25" s="8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</row>
    <row r="26" spans="1:29" x14ac:dyDescent="0.25">
      <c r="A26" s="8"/>
      <c r="B26" s="27"/>
      <c r="C26" s="27"/>
      <c r="D26" s="27"/>
      <c r="E26" s="27"/>
      <c r="F26" s="8"/>
      <c r="G26" s="8"/>
      <c r="H26" s="8"/>
      <c r="I26" s="8"/>
      <c r="J26" s="8"/>
      <c r="K26" s="8"/>
      <c r="L26" s="8"/>
      <c r="M26" s="8"/>
      <c r="N26" s="8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</row>
    <row r="27" spans="1:29" x14ac:dyDescent="0.25">
      <c r="A27" s="8"/>
      <c r="B27" s="27"/>
      <c r="C27" s="27"/>
      <c r="D27" s="27"/>
      <c r="E27" s="27"/>
      <c r="F27" s="8"/>
      <c r="G27" s="8"/>
      <c r="H27" s="8"/>
      <c r="I27" s="8"/>
      <c r="J27" s="8"/>
      <c r="K27" s="8"/>
      <c r="L27" s="8"/>
      <c r="M27" s="8"/>
      <c r="N27" s="8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</row>
    <row r="28" spans="1:29" x14ac:dyDescent="0.25">
      <c r="A28" s="8"/>
      <c r="B28" s="27"/>
      <c r="C28" s="27"/>
      <c r="D28" s="27"/>
      <c r="E28" s="27"/>
      <c r="F28" s="8"/>
      <c r="G28" s="8"/>
      <c r="H28" s="8"/>
      <c r="I28" s="8"/>
      <c r="J28" s="8"/>
      <c r="K28" s="8"/>
      <c r="L28" s="8"/>
      <c r="M28" s="8"/>
      <c r="N28" s="8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</row>
    <row r="29" spans="1:29" x14ac:dyDescent="0.25">
      <c r="A29" s="8"/>
      <c r="B29" s="27"/>
      <c r="C29" s="27"/>
      <c r="D29" s="27"/>
      <c r="E29" s="27"/>
      <c r="F29" s="8"/>
      <c r="G29" s="8"/>
      <c r="H29" s="8"/>
      <c r="I29" s="8"/>
      <c r="J29" s="8"/>
      <c r="K29" s="8"/>
      <c r="L29" s="8"/>
      <c r="M29" s="8"/>
      <c r="N29" s="8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</row>
    <row r="30" spans="1:29" x14ac:dyDescent="0.25">
      <c r="A30" s="8"/>
      <c r="B30" s="27"/>
      <c r="C30" s="27"/>
      <c r="D30" s="27"/>
      <c r="E30" s="27"/>
      <c r="F30" s="8"/>
      <c r="G30" s="8"/>
      <c r="H30" s="8"/>
      <c r="I30" s="8"/>
      <c r="J30" s="8"/>
      <c r="K30" s="8"/>
      <c r="L30" s="8"/>
      <c r="M30" s="8"/>
      <c r="N30" s="8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</row>
    <row r="31" spans="1:29" x14ac:dyDescent="0.25">
      <c r="A31" s="8"/>
      <c r="B31" s="27"/>
      <c r="C31" s="27"/>
      <c r="D31" s="27"/>
      <c r="E31" s="27"/>
      <c r="F31" s="8"/>
      <c r="G31" s="8"/>
      <c r="H31" s="8"/>
      <c r="I31" s="8"/>
      <c r="J31" s="8"/>
      <c r="K31" s="8"/>
      <c r="L31" s="8"/>
      <c r="M31" s="8"/>
      <c r="N31" s="8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</row>
    <row r="32" spans="1:29" x14ac:dyDescent="0.25">
      <c r="A32" s="8"/>
      <c r="B32" s="27"/>
      <c r="C32" s="27"/>
      <c r="D32" s="27"/>
      <c r="E32" s="27"/>
      <c r="F32" s="8"/>
      <c r="G32" s="8"/>
      <c r="H32" s="8"/>
      <c r="I32" s="8"/>
      <c r="J32" s="8"/>
      <c r="K32" s="8"/>
      <c r="L32" s="8"/>
      <c r="M32" s="8"/>
      <c r="N32" s="8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</row>
    <row r="33" spans="1:29" x14ac:dyDescent="0.25">
      <c r="A33" s="8"/>
      <c r="B33" s="27"/>
      <c r="C33" s="27"/>
      <c r="D33" s="27"/>
      <c r="E33" s="27"/>
      <c r="F33" s="8"/>
      <c r="G33" s="8"/>
      <c r="H33" s="8"/>
      <c r="I33" s="8"/>
      <c r="J33" s="8"/>
      <c r="K33" s="8"/>
      <c r="L33" s="8"/>
      <c r="M33" s="8"/>
      <c r="N33" s="8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</row>
    <row r="34" spans="1:29" x14ac:dyDescent="0.25">
      <c r="A34" s="8"/>
      <c r="B34" s="27"/>
      <c r="C34" s="27"/>
      <c r="D34" s="27"/>
      <c r="E34" s="27"/>
      <c r="F34" s="8"/>
      <c r="G34" s="8"/>
      <c r="H34" s="8"/>
      <c r="I34" s="8"/>
      <c r="J34" s="8"/>
      <c r="K34" s="8"/>
      <c r="L34" s="8"/>
      <c r="M34" s="8"/>
      <c r="N34" s="8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</row>
    <row r="35" spans="1:29" x14ac:dyDescent="0.25">
      <c r="A35" s="8"/>
      <c r="B35" s="27"/>
      <c r="C35" s="27"/>
      <c r="D35" s="27"/>
      <c r="E35" s="27"/>
      <c r="F35" s="8"/>
      <c r="G35" s="8"/>
      <c r="H35" s="8"/>
      <c r="I35" s="8"/>
      <c r="J35" s="8"/>
      <c r="K35" s="8"/>
      <c r="L35" s="8"/>
      <c r="M35" s="8"/>
      <c r="N35" s="8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</row>
    <row r="36" spans="1:29" x14ac:dyDescent="0.25">
      <c r="A36" s="8"/>
      <c r="B36" s="27"/>
      <c r="C36" s="27"/>
      <c r="D36" s="27"/>
      <c r="E36" s="27"/>
      <c r="F36" s="8"/>
      <c r="G36" s="8"/>
      <c r="H36" s="8"/>
      <c r="I36" s="8"/>
      <c r="J36" s="8"/>
      <c r="K36" s="8"/>
      <c r="L36" s="8"/>
      <c r="M36" s="8"/>
      <c r="N36" s="8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</row>
    <row r="37" spans="1:29" x14ac:dyDescent="0.25">
      <c r="A37" s="8"/>
      <c r="B37" s="27"/>
      <c r="C37" s="27"/>
      <c r="D37" s="27"/>
      <c r="E37" s="27"/>
      <c r="F37" s="8"/>
      <c r="G37" s="8"/>
      <c r="H37" s="8"/>
      <c r="I37" s="8"/>
      <c r="J37" s="8"/>
      <c r="K37" s="8"/>
      <c r="L37" s="8"/>
      <c r="M37" s="8"/>
      <c r="N37" s="8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</row>
    <row r="38" spans="1:29" x14ac:dyDescent="0.25">
      <c r="A38" s="8"/>
      <c r="B38" s="27"/>
      <c r="C38" s="27"/>
      <c r="D38" s="27"/>
      <c r="E38" s="27"/>
      <c r="F38" s="8"/>
      <c r="G38" s="8"/>
      <c r="H38" s="8"/>
      <c r="I38" s="8"/>
      <c r="J38" s="8"/>
      <c r="K38" s="8"/>
      <c r="L38" s="8"/>
      <c r="M38" s="8"/>
      <c r="N38" s="8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</row>
    <row r="39" spans="1:29" x14ac:dyDescent="0.25">
      <c r="A39" s="8"/>
      <c r="B39" s="27"/>
      <c r="C39" s="27"/>
      <c r="D39" s="27"/>
      <c r="E39" s="27"/>
      <c r="F39" s="8"/>
      <c r="G39" s="8"/>
      <c r="H39" s="8"/>
      <c r="I39" s="8"/>
      <c r="J39" s="8"/>
      <c r="K39" s="8"/>
      <c r="L39" s="8"/>
      <c r="M39" s="8"/>
      <c r="N39" s="8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</row>
    <row r="40" spans="1:29" x14ac:dyDescent="0.25">
      <c r="A40" s="8"/>
      <c r="B40" s="27"/>
      <c r="C40" s="27"/>
      <c r="D40" s="27"/>
      <c r="E40" s="27"/>
      <c r="F40" s="8"/>
      <c r="G40" s="8"/>
      <c r="H40" s="8"/>
      <c r="I40" s="8"/>
      <c r="J40" s="8"/>
      <c r="K40" s="8"/>
      <c r="L40" s="8"/>
      <c r="M40" s="8"/>
      <c r="N40" s="8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</row>
    <row r="41" spans="1:29" x14ac:dyDescent="0.25">
      <c r="A41" s="8"/>
      <c r="B41" s="27"/>
      <c r="C41" s="27"/>
      <c r="D41" s="27"/>
      <c r="E41" s="27"/>
      <c r="F41" s="8"/>
      <c r="G41" s="8"/>
      <c r="H41" s="8"/>
      <c r="I41" s="8"/>
      <c r="J41" s="8"/>
      <c r="K41" s="8"/>
      <c r="L41" s="8"/>
      <c r="M41" s="8"/>
      <c r="N41" s="8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</row>
    <row r="42" spans="1:29" x14ac:dyDescent="0.25">
      <c r="A42" s="8"/>
      <c r="B42" s="27"/>
      <c r="C42" s="27"/>
      <c r="D42" s="27"/>
      <c r="E42" s="27"/>
      <c r="F42" s="8"/>
      <c r="G42" s="8"/>
      <c r="H42" s="8"/>
      <c r="I42" s="8"/>
      <c r="J42" s="8"/>
      <c r="K42" s="8"/>
      <c r="L42" s="8"/>
      <c r="M42" s="8"/>
      <c r="N42" s="8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</row>
    <row r="43" spans="1:29" x14ac:dyDescent="0.25">
      <c r="A43" s="8"/>
      <c r="B43" s="27"/>
      <c r="C43" s="27"/>
      <c r="D43" s="27"/>
      <c r="E43" s="27"/>
      <c r="F43" s="8"/>
      <c r="G43" s="8"/>
      <c r="H43" s="8"/>
      <c r="I43" s="8"/>
      <c r="J43" s="8"/>
      <c r="K43" s="8"/>
      <c r="L43" s="8"/>
      <c r="M43" s="8"/>
      <c r="N43" s="8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</row>
    <row r="44" spans="1:29" x14ac:dyDescent="0.25">
      <c r="A44" s="8"/>
      <c r="B44" s="27"/>
      <c r="C44" s="27"/>
      <c r="D44" s="27"/>
      <c r="E44" s="27"/>
      <c r="F44" s="8"/>
      <c r="G44" s="8"/>
      <c r="H44" s="8"/>
      <c r="I44" s="8"/>
      <c r="J44" s="8"/>
      <c r="K44" s="8"/>
      <c r="L44" s="8"/>
      <c r="M44" s="8"/>
      <c r="N44" s="8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</row>
    <row r="45" spans="1:29" x14ac:dyDescent="0.25">
      <c r="A45" s="8"/>
      <c r="B45" s="27"/>
      <c r="C45" s="27"/>
      <c r="D45" s="27"/>
      <c r="E45" s="27"/>
      <c r="F45" s="8"/>
      <c r="G45" s="8"/>
      <c r="H45" s="8"/>
      <c r="I45" s="8"/>
      <c r="J45" s="8"/>
      <c r="K45" s="8"/>
      <c r="L45" s="8"/>
      <c r="M45" s="8"/>
      <c r="N45" s="8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</row>
    <row r="46" spans="1:29" x14ac:dyDescent="0.25">
      <c r="A46" s="8"/>
      <c r="B46" s="27"/>
      <c r="C46" s="27"/>
      <c r="D46" s="27"/>
      <c r="E46" s="27"/>
      <c r="F46" s="8"/>
      <c r="G46" s="8"/>
      <c r="H46" s="8"/>
      <c r="I46" s="8"/>
      <c r="J46" s="8"/>
      <c r="K46" s="8"/>
      <c r="L46" s="8"/>
      <c r="M46" s="8"/>
      <c r="N46" s="8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</row>
    <row r="47" spans="1:29" x14ac:dyDescent="0.25">
      <c r="A47" s="8"/>
      <c r="B47" s="27"/>
      <c r="C47" s="27"/>
      <c r="D47" s="27"/>
      <c r="E47" s="27"/>
      <c r="F47" s="8"/>
      <c r="G47" s="8"/>
      <c r="H47" s="8"/>
      <c r="I47" s="8"/>
      <c r="J47" s="8"/>
      <c r="K47" s="8"/>
      <c r="L47" s="8"/>
      <c r="M47" s="8"/>
      <c r="N47" s="8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</row>
    <row r="48" spans="1:29" x14ac:dyDescent="0.25">
      <c r="A48" s="8"/>
      <c r="B48" s="27"/>
      <c r="C48" s="27"/>
      <c r="D48" s="27"/>
      <c r="E48" s="27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1:15" x14ac:dyDescent="0.25">
      <c r="A49" s="8"/>
      <c r="B49" s="27"/>
      <c r="C49" s="27"/>
      <c r="D49" s="27"/>
      <c r="E49" s="27"/>
      <c r="F49" s="8"/>
      <c r="G49" s="8"/>
      <c r="H49" s="8"/>
      <c r="I49" s="8"/>
      <c r="J49" s="8"/>
      <c r="K49" s="8"/>
      <c r="L49" s="8"/>
      <c r="M49" s="8"/>
      <c r="N49" s="8"/>
      <c r="O49" s="8"/>
    </row>
    <row r="50" spans="1:15" x14ac:dyDescent="0.25">
      <c r="A50" s="8"/>
      <c r="B50" s="27"/>
      <c r="C50" s="27"/>
      <c r="D50" s="27"/>
      <c r="E50" s="27"/>
      <c r="F50" s="8"/>
      <c r="G50" s="8"/>
      <c r="H50" s="8"/>
      <c r="I50" s="8"/>
      <c r="J50" s="8"/>
      <c r="K50" s="8"/>
      <c r="L50" s="8"/>
      <c r="M50" s="8"/>
      <c r="N50" s="8"/>
      <c r="O50" s="8"/>
    </row>
    <row r="51" spans="1:15" x14ac:dyDescent="0.25">
      <c r="A51" s="8"/>
      <c r="B51" s="27"/>
      <c r="C51" s="27"/>
      <c r="D51" s="27"/>
      <c r="E51" s="27"/>
      <c r="F51" s="8"/>
      <c r="G51" s="8"/>
      <c r="H51" s="8"/>
      <c r="I51" s="8"/>
      <c r="J51" s="8"/>
      <c r="K51" s="8"/>
      <c r="L51" s="8"/>
      <c r="M51" s="8"/>
      <c r="N51" s="8"/>
      <c r="O51" s="8"/>
    </row>
    <row r="52" spans="1:15" x14ac:dyDescent="0.25">
      <c r="A52" s="8"/>
      <c r="B52" s="27"/>
      <c r="C52" s="27"/>
      <c r="D52" s="27"/>
      <c r="E52" s="27"/>
      <c r="F52" s="8"/>
      <c r="G52" s="8"/>
      <c r="H52" s="8"/>
      <c r="I52" s="8"/>
      <c r="J52" s="8"/>
      <c r="K52" s="8"/>
      <c r="L52" s="8"/>
      <c r="M52" s="8"/>
      <c r="N52" s="8"/>
      <c r="O52" s="8"/>
    </row>
    <row r="53" spans="1:15" x14ac:dyDescent="0.25">
      <c r="A53" s="8"/>
      <c r="B53" s="27"/>
      <c r="C53" s="27"/>
      <c r="D53" s="27"/>
      <c r="E53" s="27"/>
      <c r="F53" s="8"/>
      <c r="G53" s="8"/>
      <c r="H53" s="8"/>
      <c r="I53" s="8"/>
      <c r="J53" s="8"/>
      <c r="K53" s="8"/>
      <c r="L53" s="8"/>
      <c r="M53" s="8"/>
      <c r="N53" s="8"/>
      <c r="O53" s="8"/>
    </row>
    <row r="54" spans="1:15" x14ac:dyDescent="0.25">
      <c r="A54" s="8"/>
      <c r="B54" s="27"/>
      <c r="C54" s="27"/>
      <c r="D54" s="27"/>
      <c r="E54" s="27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spans="1:15" x14ac:dyDescent="0.25">
      <c r="A55" s="8"/>
      <c r="B55" s="27"/>
      <c r="C55" s="27"/>
      <c r="D55" s="27"/>
      <c r="E55" s="27"/>
      <c r="F55" s="8"/>
      <c r="G55" s="8"/>
      <c r="H55" s="8"/>
      <c r="I55" s="8"/>
      <c r="J55" s="8"/>
      <c r="K55" s="8"/>
      <c r="L55" s="8"/>
      <c r="M55" s="8"/>
      <c r="N55" s="8"/>
      <c r="O55" s="8"/>
    </row>
    <row r="56" spans="1:15" x14ac:dyDescent="0.25">
      <c r="A56" s="8"/>
      <c r="B56" s="27"/>
      <c r="C56" s="27"/>
      <c r="D56" s="27"/>
      <c r="E56" s="27"/>
      <c r="F56" s="8"/>
      <c r="G56" s="8"/>
      <c r="H56" s="8"/>
      <c r="I56" s="8"/>
      <c r="J56" s="8"/>
      <c r="K56" s="8"/>
      <c r="L56" s="8"/>
      <c r="M56" s="8"/>
      <c r="N56" s="8"/>
      <c r="O56" s="8"/>
    </row>
    <row r="57" spans="1:15" x14ac:dyDescent="0.25">
      <c r="A57" s="8"/>
      <c r="B57" s="27"/>
      <c r="C57" s="27"/>
      <c r="D57" s="27"/>
      <c r="E57" s="27"/>
      <c r="F57" s="8"/>
      <c r="G57" s="8"/>
      <c r="H57" s="8"/>
      <c r="I57" s="8"/>
      <c r="J57" s="8"/>
      <c r="K57" s="8"/>
      <c r="L57" s="8"/>
      <c r="M57" s="8"/>
      <c r="N57" s="8"/>
      <c r="O57" s="8"/>
    </row>
    <row r="58" spans="1:15" x14ac:dyDescent="0.25">
      <c r="A58" s="8"/>
      <c r="B58" s="27"/>
      <c r="C58" s="27"/>
      <c r="D58" s="27"/>
      <c r="E58" s="27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5" x14ac:dyDescent="0.25">
      <c r="A59" s="8"/>
      <c r="B59" s="27"/>
      <c r="C59" s="27"/>
      <c r="D59" s="27"/>
      <c r="E59" s="27"/>
      <c r="F59" s="8"/>
      <c r="G59" s="8"/>
      <c r="H59" s="8"/>
      <c r="I59" s="8"/>
      <c r="J59" s="8"/>
      <c r="K59" s="8"/>
      <c r="L59" s="8"/>
      <c r="M59" s="8"/>
      <c r="N59" s="8"/>
      <c r="O59" s="8"/>
    </row>
    <row r="60" spans="1:15" x14ac:dyDescent="0.25">
      <c r="A60" s="8"/>
      <c r="B60" s="27"/>
      <c r="C60" s="27"/>
      <c r="D60" s="27"/>
      <c r="E60" s="27"/>
      <c r="F60" s="8"/>
      <c r="G60" s="8"/>
      <c r="H60" s="8"/>
      <c r="I60" s="8"/>
      <c r="J60" s="8"/>
      <c r="K60" s="8"/>
      <c r="L60" s="8"/>
      <c r="M60" s="8"/>
      <c r="N60" s="8"/>
      <c r="O60" s="8"/>
    </row>
    <row r="61" spans="1:15" x14ac:dyDescent="0.25">
      <c r="A61" s="8"/>
      <c r="B61" s="27"/>
      <c r="C61" s="27"/>
      <c r="D61" s="27"/>
      <c r="E61" s="27"/>
      <c r="F61" s="8"/>
      <c r="G61" s="8"/>
      <c r="H61" s="8"/>
      <c r="I61" s="8"/>
      <c r="J61" s="8"/>
      <c r="K61" s="8"/>
      <c r="L61" s="8"/>
      <c r="M61" s="8"/>
      <c r="N61" s="8"/>
      <c r="O61" s="8"/>
    </row>
    <row r="62" spans="1:15" x14ac:dyDescent="0.25">
      <c r="A62" s="8"/>
      <c r="B62" s="27"/>
      <c r="C62" s="27"/>
      <c r="D62" s="27"/>
      <c r="E62" s="27"/>
      <c r="F62" s="8"/>
      <c r="G62" s="8"/>
      <c r="H62" s="8"/>
      <c r="I62" s="8"/>
      <c r="J62" s="8"/>
      <c r="K62" s="8"/>
      <c r="L62" s="8"/>
      <c r="M62" s="8"/>
      <c r="N62" s="8"/>
      <c r="O62" s="8"/>
    </row>
    <row r="63" spans="1:15" x14ac:dyDescent="0.25">
      <c r="A63" s="8"/>
      <c r="B63" s="27"/>
      <c r="C63" s="27"/>
      <c r="D63" s="27"/>
      <c r="E63" s="27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15" x14ac:dyDescent="0.25">
      <c r="A64" s="8"/>
      <c r="B64" s="27"/>
      <c r="C64" s="27"/>
      <c r="D64" s="27"/>
      <c r="E64" s="27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1:15" x14ac:dyDescent="0.25">
      <c r="A65" s="8"/>
      <c r="B65" s="27"/>
      <c r="C65" s="27"/>
      <c r="D65" s="27"/>
      <c r="E65" s="27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1:15" x14ac:dyDescent="0.25">
      <c r="A66" s="8"/>
      <c r="B66" s="27"/>
      <c r="C66" s="27"/>
      <c r="D66" s="27"/>
      <c r="E66" s="27"/>
      <c r="F66" s="8"/>
      <c r="G66" s="8"/>
      <c r="H66" s="8"/>
      <c r="I66" s="8"/>
      <c r="J66" s="8"/>
      <c r="K66" s="8"/>
      <c r="L66" s="8"/>
      <c r="M66" s="8"/>
      <c r="N66" s="8"/>
      <c r="O66" s="8"/>
    </row>
    <row r="67" spans="1:15" x14ac:dyDescent="0.25">
      <c r="A67" s="8"/>
      <c r="B67" s="27"/>
      <c r="C67" s="27"/>
      <c r="D67" s="27"/>
      <c r="E67" s="27"/>
      <c r="F67" s="8"/>
      <c r="G67" s="8"/>
      <c r="H67" s="8"/>
      <c r="I67" s="8"/>
      <c r="J67" s="8"/>
      <c r="K67" s="8"/>
      <c r="L67" s="8"/>
      <c r="M67" s="8"/>
      <c r="N67" s="8"/>
      <c r="O67" s="8"/>
    </row>
    <row r="68" spans="1:15" x14ac:dyDescent="0.25">
      <c r="A68" s="8"/>
      <c r="B68" s="27"/>
      <c r="C68" s="27"/>
      <c r="D68" s="27"/>
      <c r="E68" s="27"/>
      <c r="F68" s="8"/>
      <c r="G68" s="8"/>
      <c r="H68" s="8"/>
      <c r="I68" s="8"/>
      <c r="J68" s="8"/>
      <c r="K68" s="8"/>
      <c r="L68" s="8"/>
      <c r="M68" s="8"/>
      <c r="N68" s="8"/>
      <c r="O68" s="8"/>
    </row>
    <row r="69" spans="1:15" x14ac:dyDescent="0.25">
      <c r="A69" s="8"/>
      <c r="B69" s="27"/>
      <c r="C69" s="27"/>
      <c r="D69" s="27"/>
      <c r="E69" s="27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1:15" x14ac:dyDescent="0.25">
      <c r="A70" s="8"/>
      <c r="B70" s="27"/>
      <c r="C70" s="27"/>
      <c r="D70" s="27"/>
      <c r="E70" s="27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1:15" x14ac:dyDescent="0.25">
      <c r="A71" s="8"/>
      <c r="B71" s="27"/>
      <c r="C71" s="27"/>
      <c r="D71" s="27"/>
      <c r="E71" s="27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1:15" x14ac:dyDescent="0.25">
      <c r="A72" s="8"/>
      <c r="B72" s="27"/>
      <c r="C72" s="27"/>
      <c r="D72" s="27"/>
      <c r="E72" s="27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1:15" x14ac:dyDescent="0.25">
      <c r="A73" s="8"/>
      <c r="B73" s="27"/>
      <c r="C73" s="27"/>
      <c r="D73" s="27"/>
      <c r="E73" s="27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1:15" x14ac:dyDescent="0.25">
      <c r="A74" s="8"/>
      <c r="B74" s="27"/>
      <c r="C74" s="27"/>
      <c r="D74" s="27"/>
      <c r="E74" s="27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1:15" x14ac:dyDescent="0.25">
      <c r="A75" s="8"/>
      <c r="B75" s="27"/>
      <c r="C75" s="27"/>
      <c r="D75" s="27"/>
      <c r="E75" s="27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1:15" x14ac:dyDescent="0.25">
      <c r="A76" s="8"/>
      <c r="B76" s="27"/>
      <c r="C76" s="27"/>
      <c r="D76" s="27"/>
      <c r="E76" s="27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1:15" x14ac:dyDescent="0.25">
      <c r="A77" s="8"/>
      <c r="B77" s="27"/>
      <c r="C77" s="27"/>
      <c r="D77" s="27"/>
      <c r="E77" s="27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1:15" x14ac:dyDescent="0.25">
      <c r="A78" s="8"/>
      <c r="B78" s="27"/>
      <c r="C78" s="27"/>
      <c r="D78" s="27"/>
      <c r="E78" s="27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1:15" x14ac:dyDescent="0.25">
      <c r="A79" s="8"/>
      <c r="B79" s="27"/>
      <c r="C79" s="27"/>
      <c r="D79" s="27"/>
      <c r="E79" s="27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1:15" x14ac:dyDescent="0.25">
      <c r="A80" s="8"/>
      <c r="B80" s="27"/>
      <c r="C80" s="27"/>
      <c r="D80" s="27"/>
      <c r="E80" s="27"/>
      <c r="F80" s="8"/>
      <c r="G80" s="8"/>
      <c r="H80" s="8"/>
      <c r="I80" s="8"/>
      <c r="J80" s="8"/>
      <c r="K80" s="8"/>
      <c r="L80" s="8"/>
      <c r="M80" s="8"/>
      <c r="N80" s="8"/>
      <c r="O80" s="8"/>
    </row>
    <row r="81" spans="1:15" x14ac:dyDescent="0.25">
      <c r="A81" s="8"/>
      <c r="B81" s="27"/>
      <c r="C81" s="27"/>
      <c r="D81" s="27"/>
      <c r="E81" s="27"/>
      <c r="F81" s="8"/>
      <c r="G81" s="8"/>
      <c r="H81" s="8"/>
      <c r="I81" s="8"/>
      <c r="J81" s="8"/>
      <c r="K81" s="8"/>
      <c r="L81" s="8"/>
      <c r="M81" s="8"/>
      <c r="N81" s="8"/>
      <c r="O81" s="8"/>
    </row>
    <row r="82" spans="1:15" x14ac:dyDescent="0.25">
      <c r="A82" s="8"/>
      <c r="B82" s="27"/>
      <c r="C82" s="27"/>
      <c r="D82" s="27"/>
      <c r="E82" s="27"/>
      <c r="F82" s="8"/>
      <c r="G82" s="8"/>
      <c r="H82" s="8"/>
      <c r="I82" s="8"/>
      <c r="J82" s="8"/>
      <c r="K82" s="8"/>
      <c r="L82" s="8"/>
      <c r="M82" s="8"/>
      <c r="N82" s="8"/>
      <c r="O82" s="8"/>
    </row>
    <row r="83" spans="1:15" x14ac:dyDescent="0.25">
      <c r="A83" s="8"/>
      <c r="B83" s="27"/>
      <c r="C83" s="27"/>
      <c r="D83" s="27"/>
      <c r="E83" s="27"/>
      <c r="F83" s="8"/>
      <c r="G83" s="8"/>
      <c r="H83" s="8"/>
      <c r="I83" s="8"/>
      <c r="J83" s="8"/>
      <c r="K83" s="8"/>
      <c r="L83" s="8"/>
      <c r="M83" s="8"/>
      <c r="N83" s="8"/>
      <c r="O83" s="8"/>
    </row>
    <row r="84" spans="1:15" x14ac:dyDescent="0.25">
      <c r="A84" s="8"/>
      <c r="B84" s="27"/>
      <c r="C84" s="27"/>
      <c r="D84" s="27"/>
      <c r="E84" s="27"/>
      <c r="F84" s="8"/>
      <c r="G84" s="8"/>
      <c r="H84" s="8"/>
      <c r="I84" s="8"/>
      <c r="J84" s="8"/>
      <c r="K84" s="8"/>
      <c r="L84" s="8"/>
      <c r="M84" s="8"/>
      <c r="N84" s="8"/>
      <c r="O84" s="8"/>
    </row>
    <row r="85" spans="1:15" x14ac:dyDescent="0.25">
      <c r="A85" s="8"/>
      <c r="B85" s="27"/>
      <c r="C85" s="27"/>
      <c r="D85" s="27"/>
      <c r="E85" s="27"/>
      <c r="F85" s="8"/>
      <c r="G85" s="8"/>
      <c r="H85" s="8"/>
      <c r="I85" s="8"/>
      <c r="J85" s="8"/>
      <c r="K85" s="8"/>
      <c r="L85" s="8"/>
      <c r="M85" s="8"/>
      <c r="N85" s="8"/>
      <c r="O85" s="8"/>
    </row>
    <row r="86" spans="1:15" x14ac:dyDescent="0.25">
      <c r="A86" s="8"/>
      <c r="B86" s="27"/>
      <c r="C86" s="27"/>
      <c r="D86" s="27"/>
      <c r="E86" s="27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1:15" x14ac:dyDescent="0.25">
      <c r="A87" s="8"/>
      <c r="B87" s="27"/>
      <c r="C87" s="27"/>
      <c r="D87" s="27"/>
      <c r="E87" s="27"/>
      <c r="F87" s="8"/>
      <c r="G87" s="8"/>
      <c r="H87" s="8"/>
      <c r="I87" s="8"/>
      <c r="J87" s="8"/>
      <c r="K87" s="8"/>
      <c r="L87" s="8"/>
      <c r="M87" s="8"/>
      <c r="N87" s="8"/>
      <c r="O87" s="8"/>
    </row>
    <row r="88" spans="1:15" x14ac:dyDescent="0.25">
      <c r="A88" s="8"/>
      <c r="B88" s="27"/>
      <c r="C88" s="27"/>
      <c r="D88" s="27"/>
      <c r="E88" s="27"/>
      <c r="F88" s="8"/>
      <c r="G88" s="8"/>
      <c r="H88" s="8"/>
      <c r="I88" s="8"/>
      <c r="J88" s="8"/>
      <c r="K88" s="8"/>
      <c r="L88" s="8"/>
      <c r="M88" s="8"/>
      <c r="N88" s="8"/>
      <c r="O88" s="8"/>
    </row>
    <row r="89" spans="1:15" x14ac:dyDescent="0.25">
      <c r="A89" s="8"/>
      <c r="B89" s="27"/>
      <c r="C89" s="27"/>
      <c r="D89" s="27"/>
      <c r="E89" s="27"/>
      <c r="F89" s="8"/>
      <c r="G89" s="8"/>
      <c r="H89" s="8"/>
      <c r="I89" s="8"/>
      <c r="J89" s="8"/>
      <c r="K89" s="8"/>
      <c r="L89" s="8"/>
      <c r="M89" s="8"/>
      <c r="N89" s="8"/>
      <c r="O89" s="8"/>
    </row>
    <row r="90" spans="1:15" x14ac:dyDescent="0.25">
      <c r="A90" s="8"/>
      <c r="B90" s="27"/>
      <c r="C90" s="27"/>
      <c r="D90" s="27"/>
      <c r="E90" s="27"/>
      <c r="F90" s="8"/>
      <c r="G90" s="8"/>
      <c r="H90" s="8"/>
      <c r="I90" s="8"/>
      <c r="J90" s="8"/>
      <c r="K90" s="8"/>
      <c r="L90" s="8"/>
      <c r="M90" s="8"/>
      <c r="N90" s="8"/>
      <c r="O90" s="8"/>
    </row>
    <row r="91" spans="1:15" x14ac:dyDescent="0.25">
      <c r="A91" s="8"/>
      <c r="B91" s="27"/>
      <c r="C91" s="27"/>
      <c r="D91" s="27"/>
      <c r="E91" s="27"/>
      <c r="F91" s="8"/>
      <c r="G91" s="8"/>
      <c r="H91" s="8"/>
      <c r="I91" s="8"/>
      <c r="J91" s="8"/>
      <c r="K91" s="8"/>
      <c r="L91" s="8"/>
      <c r="M91" s="8"/>
      <c r="N91" s="8"/>
      <c r="O91" s="8"/>
    </row>
    <row r="92" spans="1:15" x14ac:dyDescent="0.25">
      <c r="A92" s="8"/>
      <c r="B92" s="27"/>
      <c r="C92" s="27"/>
      <c r="D92" s="27"/>
      <c r="E92" s="27"/>
      <c r="F92" s="8"/>
      <c r="G92" s="8"/>
      <c r="H92" s="8"/>
      <c r="I92" s="8"/>
      <c r="J92" s="8"/>
      <c r="K92" s="8"/>
      <c r="L92" s="8"/>
      <c r="M92" s="8"/>
      <c r="N92" s="8"/>
      <c r="O92" s="8"/>
    </row>
    <row r="93" spans="1:15" x14ac:dyDescent="0.25">
      <c r="A93" s="8"/>
      <c r="B93" s="27"/>
      <c r="C93" s="27"/>
      <c r="D93" s="27"/>
      <c r="E93" s="27"/>
      <c r="F93" s="8"/>
      <c r="G93" s="8"/>
      <c r="H93" s="8"/>
      <c r="I93" s="8"/>
      <c r="J93" s="8"/>
      <c r="K93" s="8"/>
      <c r="L93" s="8"/>
      <c r="M93" s="8"/>
      <c r="N93" s="8"/>
      <c r="O93" s="8"/>
    </row>
    <row r="94" spans="1:15" x14ac:dyDescent="0.25">
      <c r="A94" s="8"/>
      <c r="B94" s="27"/>
      <c r="C94" s="27"/>
      <c r="D94" s="27"/>
      <c r="E94" s="27"/>
      <c r="F94" s="8"/>
      <c r="G94" s="8"/>
      <c r="H94" s="8"/>
      <c r="I94" s="8"/>
      <c r="J94" s="8"/>
      <c r="K94" s="8"/>
      <c r="L94" s="8"/>
      <c r="M94" s="8"/>
      <c r="N94" s="8"/>
      <c r="O94" s="8"/>
    </row>
    <row r="95" spans="1:15" x14ac:dyDescent="0.25">
      <c r="A95" s="8"/>
      <c r="B95" s="27"/>
      <c r="C95" s="27"/>
      <c r="D95" s="27"/>
      <c r="E95" s="27"/>
      <c r="F95" s="8"/>
      <c r="G95" s="8"/>
      <c r="H95" s="8"/>
      <c r="I95" s="8"/>
      <c r="J95" s="8"/>
      <c r="K95" s="8"/>
      <c r="L95" s="8"/>
      <c r="M95" s="8"/>
      <c r="N95" s="8"/>
      <c r="O95" s="8"/>
    </row>
    <row r="96" spans="1:15" x14ac:dyDescent="0.25">
      <c r="A96" s="8"/>
      <c r="B96" s="27"/>
      <c r="C96" s="27"/>
      <c r="D96" s="27"/>
      <c r="E96" s="27"/>
      <c r="F96" s="8"/>
      <c r="G96" s="8"/>
      <c r="H96" s="8"/>
      <c r="I96" s="8"/>
      <c r="J96" s="8"/>
      <c r="K96" s="8"/>
      <c r="L96" s="8"/>
      <c r="M96" s="8"/>
      <c r="N96" s="8"/>
      <c r="O96" s="8"/>
    </row>
    <row r="97" spans="1:15" x14ac:dyDescent="0.25">
      <c r="A97" s="8"/>
      <c r="B97" s="27"/>
      <c r="C97" s="27"/>
      <c r="D97" s="27"/>
      <c r="E97" s="27"/>
      <c r="F97" s="8"/>
      <c r="G97" s="8"/>
      <c r="H97" s="8"/>
      <c r="I97" s="8"/>
      <c r="J97" s="8"/>
      <c r="K97" s="8"/>
      <c r="L97" s="8"/>
      <c r="M97" s="8"/>
      <c r="N97" s="8"/>
      <c r="O97" s="8"/>
    </row>
    <row r="98" spans="1:15" x14ac:dyDescent="0.25">
      <c r="A98" s="8"/>
      <c r="B98" s="27"/>
      <c r="C98" s="27"/>
      <c r="D98" s="27"/>
      <c r="E98" s="27"/>
      <c r="F98" s="8"/>
      <c r="G98" s="8"/>
      <c r="H98" s="8"/>
      <c r="I98" s="8"/>
      <c r="J98" s="8"/>
      <c r="K98" s="8"/>
      <c r="L98" s="8"/>
      <c r="M98" s="8"/>
      <c r="N98" s="8"/>
      <c r="O98" s="8"/>
    </row>
    <row r="99" spans="1:15" x14ac:dyDescent="0.25">
      <c r="A99" s="8"/>
      <c r="B99" s="27"/>
      <c r="C99" s="27"/>
      <c r="D99" s="27"/>
      <c r="E99" s="27"/>
      <c r="F99" s="8"/>
      <c r="G99" s="8"/>
      <c r="H99" s="8"/>
      <c r="I99" s="8"/>
      <c r="J99" s="8"/>
      <c r="K99" s="8"/>
      <c r="L99" s="8"/>
      <c r="M99" s="8"/>
      <c r="N99" s="8"/>
      <c r="O99" s="8"/>
    </row>
    <row r="100" spans="1:15" x14ac:dyDescent="0.25">
      <c r="A100" s="8"/>
      <c r="B100" s="27"/>
      <c r="C100" s="27"/>
      <c r="D100" s="27"/>
      <c r="E100" s="27"/>
      <c r="F100" s="8"/>
      <c r="G100" s="8"/>
      <c r="H100" s="8"/>
      <c r="I100" s="8"/>
      <c r="J100" s="8"/>
      <c r="K100" s="8"/>
      <c r="L100" s="8"/>
      <c r="M100" s="8"/>
      <c r="N100" s="8"/>
      <c r="O100" s="8"/>
    </row>
    <row r="101" spans="1:15" x14ac:dyDescent="0.25">
      <c r="A101" s="8"/>
      <c r="B101" s="27"/>
      <c r="C101" s="27"/>
      <c r="D101" s="27"/>
      <c r="E101" s="27"/>
      <c r="F101" s="8"/>
      <c r="G101" s="8"/>
      <c r="H101" s="8"/>
      <c r="I101" s="8"/>
      <c r="J101" s="8"/>
      <c r="K101" s="8"/>
      <c r="L101" s="8"/>
      <c r="M101" s="8"/>
      <c r="N101" s="8"/>
      <c r="O101" s="8"/>
    </row>
    <row r="102" spans="1:15" x14ac:dyDescent="0.25">
      <c r="A102" s="8"/>
      <c r="B102" s="27"/>
      <c r="C102" s="27"/>
      <c r="D102" s="27"/>
      <c r="E102" s="27"/>
      <c r="F102" s="8"/>
      <c r="G102" s="8"/>
      <c r="H102" s="8"/>
      <c r="I102" s="8"/>
      <c r="J102" s="8"/>
      <c r="K102" s="8"/>
      <c r="L102" s="8"/>
      <c r="M102" s="8"/>
      <c r="N102" s="8"/>
      <c r="O102" s="8"/>
    </row>
    <row r="103" spans="1:15" x14ac:dyDescent="0.25">
      <c r="A103" s="8"/>
      <c r="B103" s="27"/>
      <c r="C103" s="27"/>
      <c r="D103" s="27"/>
      <c r="E103" s="27"/>
      <c r="F103" s="8"/>
      <c r="G103" s="8"/>
      <c r="H103" s="8"/>
      <c r="I103" s="8"/>
      <c r="J103" s="8"/>
      <c r="K103" s="8"/>
      <c r="L103" s="8"/>
      <c r="M103" s="8"/>
      <c r="N103" s="8"/>
      <c r="O103" s="8"/>
    </row>
    <row r="104" spans="1:15" x14ac:dyDescent="0.25">
      <c r="A104" s="8"/>
      <c r="B104" s="27"/>
      <c r="C104" s="27"/>
      <c r="D104" s="27"/>
      <c r="E104" s="27"/>
      <c r="F104" s="8"/>
      <c r="G104" s="8"/>
      <c r="H104" s="8"/>
      <c r="I104" s="8"/>
      <c r="J104" s="8"/>
      <c r="K104" s="8"/>
      <c r="L104" s="8"/>
      <c r="M104" s="8"/>
      <c r="N104" s="8"/>
      <c r="O104" s="8"/>
    </row>
    <row r="105" spans="1:15" x14ac:dyDescent="0.25">
      <c r="A105" s="8"/>
      <c r="B105" s="27"/>
      <c r="C105" s="27"/>
      <c r="D105" s="27"/>
      <c r="E105" s="27"/>
      <c r="F105" s="8"/>
      <c r="G105" s="8"/>
      <c r="H105" s="8"/>
      <c r="I105" s="8"/>
      <c r="J105" s="8"/>
      <c r="K105" s="8"/>
      <c r="L105" s="8"/>
      <c r="M105" s="8"/>
      <c r="N105" s="8"/>
      <c r="O105" s="8"/>
    </row>
    <row r="106" spans="1:15" x14ac:dyDescent="0.25">
      <c r="A106" s="8"/>
      <c r="B106" s="27"/>
      <c r="C106" s="27"/>
      <c r="D106" s="27"/>
      <c r="E106" s="27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1:15" x14ac:dyDescent="0.25">
      <c r="A107" s="8"/>
      <c r="B107" s="27"/>
      <c r="C107" s="27"/>
      <c r="D107" s="27"/>
      <c r="E107" s="27"/>
      <c r="F107" s="8"/>
      <c r="G107" s="8"/>
      <c r="H107" s="8"/>
      <c r="I107" s="8"/>
      <c r="J107" s="8"/>
      <c r="K107" s="8"/>
      <c r="L107" s="8"/>
      <c r="M107" s="8"/>
      <c r="N107" s="8"/>
      <c r="O107" s="8"/>
    </row>
    <row r="108" spans="1:15" x14ac:dyDescent="0.25">
      <c r="A108" s="8"/>
      <c r="B108" s="27"/>
      <c r="C108" s="27"/>
      <c r="D108" s="27"/>
      <c r="E108" s="27"/>
      <c r="F108" s="8"/>
      <c r="G108" s="8"/>
      <c r="H108" s="8"/>
      <c r="I108" s="8"/>
      <c r="J108" s="8"/>
      <c r="K108" s="8"/>
      <c r="L108" s="8"/>
      <c r="M108" s="8"/>
      <c r="N108" s="8"/>
      <c r="O108" s="8"/>
    </row>
    <row r="109" spans="1:15" x14ac:dyDescent="0.25">
      <c r="A109" s="8"/>
      <c r="B109" s="27"/>
      <c r="C109" s="27"/>
      <c r="D109" s="27"/>
      <c r="E109" s="27"/>
      <c r="F109" s="8"/>
      <c r="G109" s="8"/>
      <c r="H109" s="8"/>
      <c r="I109" s="8"/>
      <c r="J109" s="8"/>
      <c r="K109" s="8"/>
      <c r="L109" s="8"/>
      <c r="M109" s="8"/>
      <c r="N109" s="8"/>
      <c r="O109" s="8"/>
    </row>
    <row r="110" spans="1:15" x14ac:dyDescent="0.25">
      <c r="A110" s="8"/>
      <c r="B110" s="27"/>
      <c r="C110" s="27"/>
      <c r="D110" s="27"/>
      <c r="E110" s="27"/>
      <c r="F110" s="8"/>
      <c r="G110" s="8"/>
      <c r="H110" s="8"/>
      <c r="I110" s="8"/>
      <c r="J110" s="8"/>
      <c r="K110" s="8"/>
      <c r="L110" s="8"/>
      <c r="M110" s="8"/>
      <c r="N110" s="8"/>
      <c r="O110" s="8"/>
    </row>
    <row r="111" spans="1:15" x14ac:dyDescent="0.25">
      <c r="A111" s="8"/>
      <c r="B111" s="27"/>
      <c r="C111" s="27"/>
      <c r="D111" s="27"/>
      <c r="E111" s="27"/>
      <c r="F111" s="8"/>
      <c r="G111" s="8"/>
      <c r="H111" s="8"/>
      <c r="I111" s="8"/>
      <c r="J111" s="8"/>
      <c r="K111" s="8"/>
      <c r="L111" s="8"/>
      <c r="M111" s="8"/>
      <c r="N111" s="8"/>
      <c r="O111" s="8"/>
    </row>
    <row r="112" spans="1:15" x14ac:dyDescent="0.25">
      <c r="A112" s="8"/>
      <c r="B112" s="27"/>
      <c r="C112" s="27"/>
      <c r="D112" s="27"/>
      <c r="E112" s="27"/>
      <c r="F112" s="8"/>
      <c r="G112" s="8"/>
      <c r="H112" s="8"/>
      <c r="I112" s="8"/>
      <c r="J112" s="8"/>
      <c r="K112" s="8"/>
      <c r="L112" s="8"/>
      <c r="M112" s="8"/>
      <c r="N112" s="8"/>
      <c r="O112" s="8"/>
    </row>
    <row r="113" spans="1:15" x14ac:dyDescent="0.25">
      <c r="A113" s="8"/>
      <c r="B113" s="27"/>
      <c r="C113" s="27"/>
      <c r="D113" s="27"/>
      <c r="E113" s="27"/>
      <c r="F113" s="8"/>
      <c r="G113" s="8"/>
      <c r="H113" s="8"/>
      <c r="I113" s="8"/>
      <c r="J113" s="8"/>
      <c r="K113" s="8"/>
      <c r="L113" s="8"/>
      <c r="M113" s="8"/>
      <c r="N113" s="8"/>
      <c r="O113" s="8"/>
    </row>
    <row r="114" spans="1:15" x14ac:dyDescent="0.25">
      <c r="A114" s="8"/>
      <c r="B114" s="27"/>
      <c r="C114" s="27"/>
      <c r="D114" s="27"/>
      <c r="E114" s="27"/>
      <c r="F114" s="8"/>
      <c r="G114" s="8"/>
      <c r="H114" s="8"/>
      <c r="I114" s="8"/>
      <c r="J114" s="8"/>
      <c r="K114" s="8"/>
      <c r="L114" s="8"/>
      <c r="M114" s="8"/>
      <c r="N114" s="8"/>
      <c r="O114" s="8"/>
    </row>
    <row r="115" spans="1:15" x14ac:dyDescent="0.25">
      <c r="A115" s="8"/>
      <c r="B115" s="27"/>
      <c r="C115" s="27"/>
      <c r="D115" s="27"/>
      <c r="E115" s="27"/>
      <c r="F115" s="8"/>
      <c r="G115" s="8"/>
      <c r="H115" s="8"/>
      <c r="I115" s="8"/>
      <c r="J115" s="8"/>
      <c r="K115" s="8"/>
      <c r="L115" s="8"/>
      <c r="M115" s="8"/>
      <c r="N115" s="8"/>
      <c r="O115" s="8"/>
    </row>
    <row r="116" spans="1:15" x14ac:dyDescent="0.25">
      <c r="A116" s="8"/>
      <c r="B116" s="27"/>
      <c r="C116" s="27"/>
      <c r="D116" s="27"/>
      <c r="E116" s="27"/>
      <c r="F116" s="8"/>
      <c r="G116" s="8"/>
      <c r="H116" s="8"/>
      <c r="I116" s="8"/>
      <c r="J116" s="8"/>
      <c r="K116" s="8"/>
      <c r="L116" s="8"/>
      <c r="M116" s="8"/>
      <c r="N116" s="8"/>
      <c r="O116" s="8"/>
    </row>
    <row r="117" spans="1:15" x14ac:dyDescent="0.25">
      <c r="A117" s="8"/>
      <c r="B117" s="27"/>
      <c r="C117" s="27"/>
      <c r="D117" s="27"/>
      <c r="E117" s="27"/>
      <c r="F117" s="8"/>
      <c r="G117" s="8"/>
      <c r="H117" s="8"/>
      <c r="I117" s="8"/>
      <c r="J117" s="8"/>
      <c r="K117" s="8"/>
      <c r="L117" s="8"/>
      <c r="M117" s="8"/>
      <c r="N117" s="8"/>
      <c r="O117" s="8"/>
    </row>
    <row r="118" spans="1:15" x14ac:dyDescent="0.25">
      <c r="A118" s="8"/>
      <c r="B118" s="27"/>
      <c r="C118" s="27"/>
      <c r="D118" s="27"/>
      <c r="E118" s="27"/>
      <c r="F118" s="8"/>
      <c r="G118" s="8"/>
      <c r="H118" s="8"/>
      <c r="I118" s="8"/>
      <c r="J118" s="8"/>
      <c r="K118" s="8"/>
      <c r="L118" s="8"/>
      <c r="M118" s="8"/>
      <c r="N118" s="8"/>
      <c r="O118" s="8"/>
    </row>
    <row r="119" spans="1:15" x14ac:dyDescent="0.25">
      <c r="A119" s="8"/>
      <c r="B119" s="27"/>
      <c r="C119" s="27"/>
      <c r="D119" s="27"/>
      <c r="E119" s="27"/>
      <c r="F119" s="8"/>
      <c r="G119" s="8"/>
      <c r="H119" s="8"/>
      <c r="I119" s="8"/>
      <c r="J119" s="8"/>
      <c r="K119" s="8"/>
      <c r="L119" s="8"/>
      <c r="M119" s="8"/>
      <c r="N119" s="8"/>
      <c r="O119" s="8"/>
    </row>
    <row r="120" spans="1:15" x14ac:dyDescent="0.25">
      <c r="A120" s="8"/>
      <c r="B120" s="27"/>
      <c r="C120" s="27"/>
      <c r="D120" s="27"/>
      <c r="E120" s="27"/>
      <c r="F120" s="8"/>
      <c r="G120" s="8"/>
      <c r="H120" s="8"/>
      <c r="I120" s="8"/>
      <c r="J120" s="8"/>
      <c r="K120" s="8"/>
      <c r="L120" s="8"/>
      <c r="M120" s="8"/>
      <c r="N120" s="8"/>
      <c r="O120" s="8"/>
    </row>
    <row r="121" spans="1:15" x14ac:dyDescent="0.25">
      <c r="A121" s="8"/>
      <c r="B121" s="27"/>
      <c r="C121" s="27"/>
      <c r="D121" s="27"/>
      <c r="E121" s="27"/>
      <c r="F121" s="8"/>
      <c r="G121" s="8"/>
      <c r="H121" s="8"/>
      <c r="I121" s="8"/>
      <c r="J121" s="8"/>
      <c r="K121" s="8"/>
      <c r="L121" s="8"/>
      <c r="M121" s="8"/>
      <c r="N121" s="8"/>
      <c r="O121" s="8"/>
    </row>
    <row r="122" spans="1:15" x14ac:dyDescent="0.25">
      <c r="A122" s="8"/>
      <c r="B122" s="27"/>
      <c r="C122" s="27"/>
      <c r="D122" s="27"/>
      <c r="E122" s="27"/>
      <c r="F122" s="8"/>
      <c r="G122" s="8"/>
      <c r="H122" s="8"/>
      <c r="I122" s="8"/>
      <c r="J122" s="8"/>
      <c r="K122" s="8"/>
      <c r="L122" s="8"/>
      <c r="M122" s="8"/>
      <c r="N122" s="8"/>
      <c r="O122" s="8"/>
    </row>
    <row r="123" spans="1:15" x14ac:dyDescent="0.25">
      <c r="A123" s="8"/>
      <c r="B123" s="27"/>
      <c r="C123" s="27"/>
      <c r="D123" s="27"/>
      <c r="E123" s="27"/>
      <c r="F123" s="8"/>
      <c r="G123" s="8"/>
      <c r="H123" s="8"/>
      <c r="I123" s="8"/>
      <c r="J123" s="8"/>
      <c r="K123" s="8"/>
      <c r="L123" s="8"/>
      <c r="M123" s="8"/>
      <c r="N123" s="8"/>
      <c r="O123" s="8"/>
    </row>
    <row r="124" spans="1:15" x14ac:dyDescent="0.25">
      <c r="A124" s="8"/>
      <c r="B124" s="27"/>
      <c r="C124" s="27"/>
      <c r="D124" s="27"/>
      <c r="E124" s="27"/>
      <c r="F124" s="8"/>
      <c r="G124" s="8"/>
      <c r="H124" s="8"/>
      <c r="I124" s="8"/>
      <c r="J124" s="8"/>
      <c r="K124" s="8"/>
      <c r="L124" s="8"/>
      <c r="M124" s="8"/>
      <c r="N124" s="8"/>
      <c r="O124" s="8"/>
    </row>
    <row r="125" spans="1:15" x14ac:dyDescent="0.25">
      <c r="A125" s="8"/>
      <c r="B125" s="27"/>
      <c r="C125" s="27"/>
      <c r="D125" s="27"/>
      <c r="E125" s="27"/>
      <c r="F125" s="8"/>
      <c r="G125" s="8"/>
      <c r="H125" s="8"/>
      <c r="I125" s="8"/>
      <c r="J125" s="8"/>
      <c r="K125" s="8"/>
      <c r="L125" s="8"/>
      <c r="M125" s="8"/>
      <c r="N125" s="8"/>
      <c r="O125" s="8"/>
    </row>
    <row r="126" spans="1:15" x14ac:dyDescent="0.25">
      <c r="A126" s="8"/>
      <c r="B126" s="27"/>
      <c r="C126" s="27"/>
      <c r="D126" s="27"/>
      <c r="E126" s="27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1:15" x14ac:dyDescent="0.25">
      <c r="A127" s="8"/>
      <c r="B127" s="27"/>
      <c r="C127" s="27"/>
      <c r="D127" s="27"/>
      <c r="E127" s="27"/>
      <c r="F127" s="8"/>
      <c r="G127" s="8"/>
      <c r="H127" s="8"/>
      <c r="I127" s="8"/>
      <c r="J127" s="8"/>
      <c r="K127" s="8"/>
      <c r="L127" s="8"/>
      <c r="M127" s="8"/>
      <c r="N127" s="8"/>
      <c r="O127" s="8"/>
    </row>
    <row r="128" spans="1:15" x14ac:dyDescent="0.25">
      <c r="A128" s="8"/>
      <c r="B128" s="27"/>
      <c r="C128" s="27"/>
      <c r="D128" s="27"/>
      <c r="E128" s="27"/>
      <c r="F128" s="8"/>
      <c r="G128" s="8"/>
      <c r="H128" s="8"/>
      <c r="I128" s="8"/>
      <c r="J128" s="8"/>
      <c r="K128" s="8"/>
      <c r="L128" s="8"/>
      <c r="M128" s="8"/>
      <c r="N128" s="8"/>
      <c r="O128" s="8"/>
    </row>
    <row r="129" spans="1:15" x14ac:dyDescent="0.25">
      <c r="A129" s="8"/>
      <c r="B129" s="27"/>
      <c r="C129" s="27"/>
      <c r="D129" s="27"/>
      <c r="E129" s="27"/>
      <c r="F129" s="8"/>
      <c r="G129" s="8"/>
      <c r="H129" s="8"/>
      <c r="I129" s="8"/>
      <c r="J129" s="8"/>
      <c r="K129" s="8"/>
      <c r="L129" s="8"/>
      <c r="M129" s="8"/>
      <c r="N129" s="8"/>
      <c r="O129" s="8"/>
    </row>
    <row r="130" spans="1:15" x14ac:dyDescent="0.25">
      <c r="A130" s="8"/>
      <c r="B130" s="27"/>
      <c r="C130" s="27"/>
      <c r="D130" s="27"/>
      <c r="E130" s="27"/>
      <c r="F130" s="8"/>
      <c r="G130" s="8"/>
      <c r="H130" s="8"/>
      <c r="I130" s="8"/>
      <c r="J130" s="8"/>
      <c r="K130" s="8"/>
      <c r="L130" s="8"/>
      <c r="M130" s="8"/>
      <c r="N130" s="8"/>
      <c r="O130" s="8"/>
    </row>
    <row r="131" spans="1:15" x14ac:dyDescent="0.25">
      <c r="A131" s="8"/>
      <c r="B131" s="27"/>
      <c r="C131" s="27"/>
      <c r="D131" s="27"/>
      <c r="E131" s="27"/>
      <c r="F131" s="8"/>
      <c r="G131" s="8"/>
      <c r="H131" s="8"/>
      <c r="I131" s="8"/>
      <c r="J131" s="8"/>
      <c r="K131" s="8"/>
      <c r="L131" s="8"/>
      <c r="M131" s="8"/>
      <c r="N131" s="8"/>
      <c r="O131" s="8"/>
    </row>
    <row r="132" spans="1:15" x14ac:dyDescent="0.25">
      <c r="A132" s="8"/>
      <c r="B132" s="27"/>
      <c r="C132" s="27"/>
      <c r="D132" s="27"/>
      <c r="E132" s="27"/>
      <c r="F132" s="8"/>
      <c r="G132" s="8"/>
      <c r="H132" s="8"/>
      <c r="I132" s="8"/>
      <c r="J132" s="8"/>
      <c r="K132" s="8"/>
      <c r="L132" s="8"/>
      <c r="M132" s="8"/>
      <c r="N132" s="8"/>
      <c r="O132" s="8"/>
    </row>
    <row r="133" spans="1:15" x14ac:dyDescent="0.25">
      <c r="A133" s="8"/>
      <c r="B133" s="27"/>
      <c r="C133" s="27"/>
      <c r="D133" s="27"/>
      <c r="E133" s="27"/>
      <c r="F133" s="8"/>
      <c r="G133" s="8"/>
      <c r="H133" s="8"/>
      <c r="I133" s="8"/>
      <c r="J133" s="8"/>
      <c r="K133" s="8"/>
      <c r="L133" s="8"/>
      <c r="M133" s="8"/>
      <c r="N133" s="8"/>
      <c r="O133" s="8"/>
    </row>
    <row r="134" spans="1:15" x14ac:dyDescent="0.25">
      <c r="A134" s="8"/>
      <c r="B134" s="27"/>
      <c r="C134" s="27"/>
      <c r="D134" s="27"/>
      <c r="E134" s="27"/>
      <c r="F134" s="8"/>
      <c r="G134" s="8"/>
      <c r="H134" s="8"/>
      <c r="I134" s="8"/>
      <c r="J134" s="8"/>
      <c r="K134" s="8"/>
      <c r="L134" s="8"/>
      <c r="M134" s="8"/>
      <c r="N134" s="8"/>
      <c r="O134" s="8"/>
    </row>
    <row r="135" spans="1:15" x14ac:dyDescent="0.25">
      <c r="A135" s="8"/>
      <c r="B135" s="27"/>
      <c r="C135" s="27"/>
      <c r="D135" s="27"/>
      <c r="E135" s="27"/>
      <c r="F135" s="8"/>
      <c r="G135" s="8"/>
      <c r="H135" s="8"/>
      <c r="I135" s="8"/>
      <c r="J135" s="8"/>
      <c r="K135" s="8"/>
      <c r="L135" s="8"/>
      <c r="M135" s="8"/>
      <c r="N135" s="8"/>
      <c r="O135" s="8"/>
    </row>
    <row r="136" spans="1:15" x14ac:dyDescent="0.25">
      <c r="A136" s="8"/>
      <c r="B136" s="27"/>
      <c r="C136" s="27"/>
      <c r="D136" s="27"/>
      <c r="E136" s="27"/>
      <c r="F136" s="8"/>
      <c r="G136" s="8"/>
      <c r="H136" s="8"/>
      <c r="I136" s="8"/>
      <c r="J136" s="8"/>
      <c r="K136" s="8"/>
      <c r="L136" s="8"/>
      <c r="M136" s="8"/>
      <c r="N136" s="8"/>
      <c r="O136" s="8"/>
    </row>
    <row r="137" spans="1:15" x14ac:dyDescent="0.25">
      <c r="A137" s="8"/>
      <c r="B137" s="27"/>
      <c r="C137" s="27"/>
      <c r="D137" s="27"/>
      <c r="E137" s="27"/>
      <c r="F137" s="8"/>
      <c r="G137" s="8"/>
      <c r="H137" s="8"/>
      <c r="I137" s="8"/>
      <c r="J137" s="8"/>
      <c r="K137" s="8"/>
      <c r="L137" s="8"/>
      <c r="M137" s="8"/>
      <c r="N137" s="8"/>
      <c r="O137" s="8"/>
    </row>
    <row r="138" spans="1:15" x14ac:dyDescent="0.25">
      <c r="A138" s="8"/>
      <c r="B138" s="27"/>
      <c r="C138" s="27"/>
      <c r="D138" s="27"/>
      <c r="E138" s="27"/>
      <c r="F138" s="8"/>
      <c r="G138" s="8"/>
      <c r="H138" s="8"/>
      <c r="I138" s="8"/>
      <c r="J138" s="8"/>
      <c r="K138" s="8"/>
      <c r="L138" s="8"/>
      <c r="M138" s="8"/>
      <c r="N138" s="8"/>
      <c r="O138" s="8"/>
    </row>
    <row r="139" spans="1:15" x14ac:dyDescent="0.25">
      <c r="A139" s="8"/>
      <c r="B139" s="27"/>
      <c r="C139" s="27"/>
      <c r="D139" s="27"/>
      <c r="E139" s="27"/>
      <c r="F139" s="8"/>
      <c r="G139" s="8"/>
      <c r="H139" s="8"/>
      <c r="I139" s="8"/>
      <c r="J139" s="8"/>
      <c r="K139" s="8"/>
      <c r="L139" s="8"/>
      <c r="M139" s="8"/>
      <c r="N139" s="8"/>
      <c r="O139" s="8"/>
    </row>
    <row r="140" spans="1:15" x14ac:dyDescent="0.25">
      <c r="A140" s="8"/>
      <c r="B140" s="27"/>
      <c r="C140" s="27"/>
      <c r="D140" s="27"/>
      <c r="E140" s="27"/>
      <c r="F140" s="8"/>
      <c r="G140" s="8"/>
      <c r="H140" s="8"/>
      <c r="I140" s="8"/>
      <c r="J140" s="8"/>
      <c r="K140" s="8"/>
      <c r="L140" s="8"/>
      <c r="M140" s="8"/>
      <c r="N140" s="8"/>
      <c r="O140" s="8"/>
    </row>
    <row r="141" spans="1:15" x14ac:dyDescent="0.25">
      <c r="A141" s="8"/>
      <c r="B141" s="27"/>
      <c r="C141" s="27"/>
      <c r="D141" s="27"/>
      <c r="E141" s="27"/>
      <c r="F141" s="8"/>
      <c r="G141" s="8"/>
      <c r="H141" s="8"/>
      <c r="I141" s="8"/>
      <c r="J141" s="8"/>
      <c r="K141" s="8"/>
      <c r="L141" s="8"/>
      <c r="M141" s="8"/>
      <c r="N141" s="8"/>
      <c r="O141" s="8"/>
    </row>
    <row r="142" spans="1:15" x14ac:dyDescent="0.25">
      <c r="A142" s="8"/>
      <c r="B142" s="27"/>
      <c r="C142" s="27"/>
      <c r="D142" s="27"/>
      <c r="E142" s="27"/>
      <c r="F142" s="8"/>
      <c r="G142" s="8"/>
      <c r="H142" s="8"/>
      <c r="I142" s="8"/>
      <c r="J142" s="8"/>
      <c r="K142" s="8"/>
      <c r="L142" s="8"/>
      <c r="M142" s="8"/>
      <c r="N142" s="8"/>
      <c r="O142" s="8"/>
    </row>
    <row r="143" spans="1:15" x14ac:dyDescent="0.25">
      <c r="A143" s="8"/>
      <c r="B143" s="27"/>
      <c r="C143" s="27"/>
      <c r="D143" s="27"/>
      <c r="E143" s="27"/>
      <c r="F143" s="8"/>
      <c r="G143" s="8"/>
      <c r="H143" s="8"/>
      <c r="I143" s="8"/>
      <c r="J143" s="8"/>
      <c r="K143" s="8"/>
      <c r="L143" s="8"/>
      <c r="M143" s="8"/>
      <c r="N143" s="8"/>
      <c r="O143" s="8"/>
    </row>
    <row r="144" spans="1:15" x14ac:dyDescent="0.25">
      <c r="A144" s="8"/>
      <c r="B144" s="27"/>
      <c r="C144" s="27"/>
      <c r="D144" s="27"/>
      <c r="E144" s="27"/>
      <c r="F144" s="8"/>
      <c r="G144" s="8"/>
      <c r="H144" s="8"/>
      <c r="I144" s="8"/>
      <c r="J144" s="8"/>
      <c r="K144" s="8"/>
      <c r="L144" s="8"/>
      <c r="M144" s="8"/>
      <c r="N144" s="8"/>
      <c r="O144" s="8"/>
    </row>
    <row r="145" spans="1:15" x14ac:dyDescent="0.25">
      <c r="A145" s="8"/>
      <c r="B145" s="27"/>
      <c r="C145" s="27"/>
      <c r="D145" s="27"/>
      <c r="E145" s="27"/>
      <c r="F145" s="8"/>
      <c r="G145" s="8"/>
      <c r="H145" s="8"/>
      <c r="I145" s="8"/>
      <c r="J145" s="8"/>
      <c r="K145" s="8"/>
      <c r="L145" s="8"/>
      <c r="M145" s="8"/>
      <c r="N145" s="8"/>
      <c r="O145" s="8"/>
    </row>
    <row r="146" spans="1:15" x14ac:dyDescent="0.25">
      <c r="A146" s="8"/>
      <c r="B146" s="27"/>
      <c r="C146" s="27"/>
      <c r="D146" s="27"/>
      <c r="E146" s="27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1:15" x14ac:dyDescent="0.25">
      <c r="A147" s="8"/>
      <c r="B147" s="27"/>
      <c r="C147" s="27"/>
      <c r="D147" s="27"/>
      <c r="E147" s="27"/>
      <c r="F147" s="8"/>
      <c r="G147" s="8"/>
      <c r="H147" s="8"/>
      <c r="I147" s="8"/>
      <c r="J147" s="8"/>
      <c r="K147" s="8"/>
      <c r="L147" s="8"/>
      <c r="M147" s="8"/>
      <c r="N147" s="8"/>
      <c r="O147" s="8"/>
    </row>
    <row r="148" spans="1:15" x14ac:dyDescent="0.25">
      <c r="A148" s="8"/>
      <c r="B148" s="27"/>
      <c r="C148" s="27"/>
      <c r="D148" s="27"/>
      <c r="E148" s="27"/>
      <c r="F148" s="8"/>
      <c r="G148" s="8"/>
      <c r="H148" s="8"/>
      <c r="I148" s="8"/>
      <c r="J148" s="8"/>
      <c r="K148" s="8"/>
      <c r="L148" s="8"/>
      <c r="M148" s="8"/>
      <c r="N148" s="8"/>
      <c r="O148" s="8"/>
    </row>
    <row r="149" spans="1:15" x14ac:dyDescent="0.25">
      <c r="A149" s="8"/>
      <c r="B149" s="27"/>
      <c r="C149" s="27"/>
      <c r="D149" s="27"/>
      <c r="E149" s="27"/>
      <c r="F149" s="8"/>
      <c r="G149" s="8"/>
      <c r="H149" s="8"/>
      <c r="I149" s="8"/>
      <c r="J149" s="8"/>
      <c r="K149" s="8"/>
      <c r="L149" s="8"/>
      <c r="M149" s="8"/>
      <c r="N149" s="8"/>
      <c r="O149" s="8"/>
    </row>
    <row r="150" spans="1:15" x14ac:dyDescent="0.25">
      <c r="A150" s="8"/>
      <c r="B150" s="27"/>
      <c r="C150" s="27"/>
      <c r="D150" s="27"/>
      <c r="E150" s="27"/>
      <c r="F150" s="8"/>
      <c r="G150" s="8"/>
      <c r="H150" s="8"/>
      <c r="I150" s="8"/>
      <c r="J150" s="8"/>
      <c r="K150" s="8"/>
      <c r="L150" s="8"/>
      <c r="M150" s="8"/>
      <c r="N150" s="8"/>
      <c r="O150" s="8"/>
    </row>
    <row r="151" spans="1:15" x14ac:dyDescent="0.25">
      <c r="A151" s="8"/>
      <c r="B151" s="27"/>
      <c r="C151" s="27"/>
      <c r="D151" s="27"/>
      <c r="E151" s="27"/>
      <c r="F151" s="8"/>
      <c r="G151" s="8"/>
      <c r="H151" s="8"/>
      <c r="I151" s="8"/>
      <c r="J151" s="8"/>
      <c r="K151" s="8"/>
      <c r="L151" s="8"/>
      <c r="M151" s="8"/>
      <c r="N151" s="8"/>
      <c r="O151" s="8"/>
    </row>
    <row r="152" spans="1:15" x14ac:dyDescent="0.25">
      <c r="A152" s="8"/>
      <c r="B152" s="27"/>
      <c r="C152" s="27"/>
      <c r="D152" s="27"/>
      <c r="E152" s="27"/>
      <c r="F152" s="8"/>
      <c r="G152" s="8"/>
      <c r="H152" s="8"/>
      <c r="I152" s="8"/>
      <c r="J152" s="8"/>
      <c r="K152" s="8"/>
      <c r="L152" s="8"/>
      <c r="M152" s="8"/>
      <c r="N152" s="8"/>
      <c r="O152" s="8"/>
    </row>
    <row r="153" spans="1:15" x14ac:dyDescent="0.25">
      <c r="A153" s="8"/>
      <c r="B153" s="27"/>
      <c r="C153" s="27"/>
      <c r="D153" s="27"/>
      <c r="E153" s="27"/>
      <c r="F153" s="8"/>
      <c r="G153" s="8"/>
      <c r="H153" s="8"/>
      <c r="I153" s="8"/>
      <c r="J153" s="8"/>
      <c r="K153" s="8"/>
      <c r="L153" s="8"/>
      <c r="M153" s="8"/>
      <c r="N153" s="8"/>
      <c r="O153" s="8"/>
    </row>
    <row r="154" spans="1:15" x14ac:dyDescent="0.25">
      <c r="A154" s="8"/>
      <c r="B154" s="27"/>
      <c r="C154" s="27"/>
      <c r="D154" s="27"/>
      <c r="E154" s="27"/>
      <c r="F154" s="8"/>
      <c r="G154" s="8"/>
      <c r="H154" s="8"/>
      <c r="I154" s="8"/>
      <c r="J154" s="8"/>
      <c r="K154" s="8"/>
      <c r="L154" s="8"/>
      <c r="M154" s="8"/>
      <c r="N154" s="8"/>
      <c r="O154" s="8"/>
    </row>
    <row r="155" spans="1:15" x14ac:dyDescent="0.25">
      <c r="A155" s="8"/>
      <c r="B155" s="27"/>
      <c r="C155" s="27"/>
      <c r="D155" s="27"/>
      <c r="E155" s="27"/>
      <c r="F155" s="8"/>
      <c r="G155" s="8"/>
      <c r="H155" s="8"/>
      <c r="I155" s="8"/>
      <c r="J155" s="8"/>
      <c r="K155" s="8"/>
      <c r="L155" s="8"/>
      <c r="M155" s="8"/>
      <c r="N155" s="8"/>
      <c r="O155" s="8"/>
    </row>
    <row r="156" spans="1:15" x14ac:dyDescent="0.25">
      <c r="A156" s="8"/>
      <c r="B156" s="27"/>
      <c r="C156" s="27"/>
      <c r="D156" s="27"/>
      <c r="E156" s="27"/>
      <c r="F156" s="8"/>
      <c r="G156" s="8"/>
      <c r="H156" s="8"/>
      <c r="I156" s="8"/>
      <c r="J156" s="8"/>
      <c r="K156" s="8"/>
      <c r="L156" s="8"/>
      <c r="M156" s="8"/>
      <c r="N156" s="8"/>
      <c r="O156" s="8"/>
    </row>
    <row r="157" spans="1:15" x14ac:dyDescent="0.25">
      <c r="A157" s="8"/>
      <c r="B157" s="27"/>
      <c r="C157" s="27"/>
      <c r="D157" s="27"/>
      <c r="E157" s="27"/>
      <c r="F157" s="8"/>
      <c r="G157" s="8"/>
      <c r="H157" s="8"/>
      <c r="I157" s="8"/>
      <c r="J157" s="8"/>
      <c r="K157" s="8"/>
      <c r="L157" s="8"/>
      <c r="M157" s="8"/>
      <c r="N157" s="8"/>
      <c r="O157" s="8"/>
    </row>
    <row r="158" spans="1:15" x14ac:dyDescent="0.25">
      <c r="A158" s="8"/>
      <c r="B158" s="27"/>
      <c r="C158" s="27"/>
      <c r="D158" s="27"/>
      <c r="E158" s="27"/>
      <c r="F158" s="8"/>
      <c r="G158" s="8"/>
      <c r="H158" s="8"/>
      <c r="I158" s="8"/>
      <c r="J158" s="8"/>
      <c r="K158" s="8"/>
      <c r="L158" s="8"/>
      <c r="M158" s="8"/>
      <c r="N158" s="8"/>
      <c r="O158" s="8"/>
    </row>
    <row r="159" spans="1:15" x14ac:dyDescent="0.25">
      <c r="A159" s="8"/>
      <c r="B159" s="27"/>
      <c r="C159" s="27"/>
      <c r="D159" s="27"/>
      <c r="E159" s="27"/>
      <c r="F159" s="8"/>
      <c r="G159" s="8"/>
      <c r="H159" s="8"/>
      <c r="I159" s="8"/>
      <c r="J159" s="8"/>
      <c r="K159" s="8"/>
      <c r="L159" s="8"/>
      <c r="M159" s="8"/>
      <c r="N159" s="8"/>
      <c r="O159" s="8"/>
    </row>
    <row r="160" spans="1:15" x14ac:dyDescent="0.25">
      <c r="A160" s="8"/>
      <c r="B160" s="27"/>
      <c r="C160" s="27"/>
      <c r="D160" s="27"/>
      <c r="E160" s="27"/>
      <c r="F160" s="8"/>
      <c r="G160" s="8"/>
      <c r="H160" s="8"/>
      <c r="I160" s="8"/>
      <c r="J160" s="8"/>
      <c r="K160" s="8"/>
      <c r="L160" s="8"/>
      <c r="M160" s="8"/>
      <c r="N160" s="8"/>
      <c r="O160" s="8"/>
    </row>
    <row r="161" spans="1:15" x14ac:dyDescent="0.25">
      <c r="A161" s="8"/>
      <c r="B161" s="27"/>
      <c r="C161" s="27"/>
      <c r="D161" s="27"/>
      <c r="E161" s="27"/>
      <c r="F161" s="8"/>
      <c r="G161" s="8"/>
      <c r="H161" s="8"/>
      <c r="I161" s="8"/>
      <c r="J161" s="8"/>
      <c r="K161" s="8"/>
      <c r="L161" s="8"/>
      <c r="M161" s="8"/>
      <c r="N161" s="8"/>
      <c r="O161" s="8"/>
    </row>
    <row r="162" spans="1:15" x14ac:dyDescent="0.25">
      <c r="A162" s="8"/>
      <c r="B162" s="27"/>
      <c r="C162" s="27"/>
      <c r="D162" s="27"/>
      <c r="E162" s="27"/>
      <c r="F162" s="8"/>
      <c r="G162" s="8"/>
      <c r="H162" s="8"/>
      <c r="I162" s="8"/>
      <c r="J162" s="8"/>
      <c r="K162" s="8"/>
      <c r="L162" s="8"/>
      <c r="M162" s="8"/>
      <c r="N162" s="8"/>
      <c r="O162" s="8"/>
    </row>
    <row r="163" spans="1:15" x14ac:dyDescent="0.25">
      <c r="A163" s="8"/>
      <c r="B163" s="27"/>
      <c r="C163" s="27"/>
      <c r="D163" s="27"/>
      <c r="E163" s="27"/>
      <c r="F163" s="8"/>
      <c r="G163" s="8"/>
      <c r="H163" s="8"/>
      <c r="I163" s="8"/>
      <c r="J163" s="8"/>
      <c r="K163" s="8"/>
      <c r="L163" s="8"/>
      <c r="M163" s="8"/>
      <c r="N163" s="8"/>
      <c r="O163" s="8"/>
    </row>
    <row r="164" spans="1:15" x14ac:dyDescent="0.25">
      <c r="A164" s="8"/>
      <c r="B164" s="27"/>
      <c r="C164" s="27"/>
      <c r="D164" s="27"/>
      <c r="E164" s="27"/>
      <c r="F164" s="8"/>
      <c r="G164" s="8"/>
      <c r="H164" s="8"/>
      <c r="I164" s="8"/>
      <c r="J164" s="8"/>
      <c r="K164" s="8"/>
      <c r="L164" s="8"/>
      <c r="M164" s="8"/>
      <c r="N164" s="8"/>
      <c r="O164" s="8"/>
    </row>
    <row r="165" spans="1:15" x14ac:dyDescent="0.25">
      <c r="A165" s="8"/>
      <c r="B165" s="27"/>
      <c r="C165" s="27"/>
      <c r="D165" s="27"/>
      <c r="E165" s="27"/>
      <c r="F165" s="8"/>
      <c r="G165" s="8"/>
      <c r="H165" s="8"/>
      <c r="I165" s="8"/>
      <c r="J165" s="8"/>
      <c r="K165" s="8"/>
      <c r="L165" s="8"/>
      <c r="M165" s="8"/>
      <c r="N165" s="8"/>
      <c r="O165" s="8"/>
    </row>
    <row r="166" spans="1:15" x14ac:dyDescent="0.25">
      <c r="A166" s="8"/>
      <c r="B166" s="27"/>
      <c r="C166" s="27"/>
      <c r="D166" s="27"/>
      <c r="E166" s="27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1:15" x14ac:dyDescent="0.25">
      <c r="A167" s="8"/>
      <c r="B167" s="27"/>
      <c r="C167" s="27"/>
      <c r="D167" s="27"/>
      <c r="E167" s="27"/>
      <c r="F167" s="8"/>
      <c r="G167" s="8"/>
      <c r="H167" s="8"/>
      <c r="I167" s="8"/>
      <c r="J167" s="8"/>
      <c r="K167" s="8"/>
      <c r="L167" s="8"/>
      <c r="M167" s="8"/>
      <c r="N167" s="8"/>
      <c r="O167" s="8"/>
    </row>
    <row r="168" spans="1:15" x14ac:dyDescent="0.25">
      <c r="A168" s="8"/>
      <c r="B168" s="27"/>
      <c r="C168" s="27"/>
      <c r="D168" s="27"/>
      <c r="E168" s="27"/>
      <c r="F168" s="8"/>
      <c r="G168" s="8"/>
      <c r="H168" s="8"/>
      <c r="I168" s="8"/>
      <c r="J168" s="8"/>
      <c r="K168" s="8"/>
      <c r="L168" s="8"/>
      <c r="M168" s="8"/>
      <c r="N168" s="8"/>
      <c r="O168" s="8"/>
    </row>
    <row r="169" spans="1:15" x14ac:dyDescent="0.25">
      <c r="A169" s="8"/>
      <c r="B169" s="27"/>
      <c r="C169" s="27"/>
      <c r="D169" s="27"/>
      <c r="E169" s="27"/>
      <c r="F169" s="8"/>
      <c r="G169" s="8"/>
      <c r="H169" s="8"/>
      <c r="I169" s="8"/>
      <c r="J169" s="8"/>
      <c r="K169" s="8"/>
      <c r="L169" s="8"/>
      <c r="M169" s="8"/>
      <c r="N169" s="8"/>
      <c r="O169" s="8"/>
    </row>
    <row r="170" spans="1:15" x14ac:dyDescent="0.25">
      <c r="A170" s="8"/>
      <c r="B170" s="27"/>
      <c r="C170" s="27"/>
      <c r="D170" s="27"/>
      <c r="E170" s="27"/>
      <c r="F170" s="8"/>
      <c r="G170" s="8"/>
      <c r="H170" s="8"/>
      <c r="I170" s="8"/>
      <c r="J170" s="8"/>
      <c r="K170" s="8"/>
      <c r="L170" s="8"/>
      <c r="M170" s="8"/>
      <c r="N170" s="8"/>
      <c r="O170" s="8"/>
    </row>
    <row r="171" spans="1:15" x14ac:dyDescent="0.25">
      <c r="A171" s="8"/>
      <c r="B171" s="27"/>
      <c r="C171" s="27"/>
      <c r="D171" s="27"/>
      <c r="E171" s="27"/>
      <c r="F171" s="8"/>
      <c r="G171" s="8"/>
      <c r="H171" s="8"/>
      <c r="I171" s="8"/>
      <c r="J171" s="8"/>
      <c r="K171" s="8"/>
      <c r="L171" s="8"/>
      <c r="M171" s="8"/>
      <c r="N171" s="8"/>
      <c r="O171" s="8"/>
    </row>
    <row r="172" spans="1:15" x14ac:dyDescent="0.25">
      <c r="A172" s="8"/>
      <c r="B172" s="27"/>
      <c r="C172" s="27"/>
      <c r="D172" s="27"/>
      <c r="E172" s="27"/>
      <c r="F172" s="8"/>
      <c r="G172" s="8"/>
      <c r="H172" s="8"/>
      <c r="I172" s="8"/>
      <c r="J172" s="8"/>
      <c r="K172" s="8"/>
      <c r="L172" s="8"/>
      <c r="M172" s="8"/>
      <c r="N172" s="8"/>
      <c r="O172" s="8"/>
    </row>
    <row r="173" spans="1:15" x14ac:dyDescent="0.25">
      <c r="A173" s="8"/>
      <c r="B173" s="27"/>
      <c r="C173" s="27"/>
      <c r="D173" s="27"/>
      <c r="E173" s="27"/>
      <c r="F173" s="8"/>
      <c r="G173" s="8"/>
      <c r="H173" s="8"/>
      <c r="I173" s="8"/>
      <c r="J173" s="8"/>
      <c r="K173" s="8"/>
      <c r="L173" s="8"/>
      <c r="M173" s="8"/>
      <c r="N173" s="8"/>
      <c r="O173" s="8"/>
    </row>
    <row r="174" spans="1:15" x14ac:dyDescent="0.25">
      <c r="A174" s="8"/>
      <c r="B174" s="27"/>
      <c r="C174" s="27"/>
      <c r="D174" s="27"/>
      <c r="E174" s="27"/>
      <c r="F174" s="8"/>
      <c r="G174" s="8"/>
      <c r="H174" s="8"/>
      <c r="I174" s="8"/>
      <c r="J174" s="8"/>
      <c r="K174" s="8"/>
      <c r="L174" s="8"/>
      <c r="M174" s="8"/>
      <c r="N174" s="8"/>
      <c r="O174" s="8"/>
    </row>
    <row r="175" spans="1:15" x14ac:dyDescent="0.25">
      <c r="A175" s="8"/>
      <c r="B175" s="27"/>
      <c r="C175" s="27"/>
      <c r="D175" s="27"/>
      <c r="E175" s="27"/>
      <c r="F175" s="8"/>
      <c r="G175" s="8"/>
      <c r="H175" s="8"/>
      <c r="I175" s="8"/>
      <c r="J175" s="8"/>
      <c r="K175" s="8"/>
      <c r="L175" s="8"/>
      <c r="M175" s="8"/>
      <c r="N175" s="8"/>
      <c r="O175" s="8"/>
    </row>
    <row r="176" spans="1:15" x14ac:dyDescent="0.25">
      <c r="A176" s="8"/>
      <c r="B176" s="27"/>
      <c r="C176" s="27"/>
      <c r="D176" s="27"/>
      <c r="E176" s="27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1:15" x14ac:dyDescent="0.25">
      <c r="A177" s="8"/>
      <c r="B177" s="27"/>
      <c r="C177" s="27"/>
      <c r="D177" s="27"/>
      <c r="E177" s="27"/>
      <c r="F177" s="8"/>
      <c r="G177" s="8"/>
      <c r="H177" s="8"/>
      <c r="I177" s="8"/>
      <c r="J177" s="8"/>
      <c r="K177" s="8"/>
      <c r="L177" s="8"/>
      <c r="M177" s="8"/>
      <c r="N177" s="8"/>
      <c r="O177" s="8"/>
    </row>
    <row r="178" spans="1:15" x14ac:dyDescent="0.25">
      <c r="A178" s="8"/>
      <c r="B178" s="27"/>
      <c r="C178" s="27"/>
      <c r="D178" s="27"/>
      <c r="E178" s="27"/>
      <c r="F178" s="8"/>
      <c r="G178" s="8"/>
      <c r="H178" s="8"/>
      <c r="I178" s="8"/>
      <c r="J178" s="8"/>
      <c r="K178" s="8"/>
      <c r="L178" s="8"/>
      <c r="M178" s="8"/>
      <c r="N178" s="8"/>
      <c r="O178" s="8"/>
    </row>
    <row r="179" spans="1:15" x14ac:dyDescent="0.25">
      <c r="A179" s="8"/>
      <c r="B179" s="27"/>
      <c r="C179" s="27"/>
      <c r="D179" s="27"/>
      <c r="E179" s="27"/>
      <c r="F179" s="8"/>
      <c r="G179" s="8"/>
      <c r="H179" s="8"/>
      <c r="I179" s="8"/>
      <c r="J179" s="8"/>
      <c r="K179" s="8"/>
      <c r="L179" s="8"/>
      <c r="M179" s="8"/>
      <c r="N179" s="8"/>
      <c r="O179" s="8"/>
    </row>
    <row r="180" spans="1:15" x14ac:dyDescent="0.25">
      <c r="A180" s="8"/>
      <c r="B180" s="27"/>
      <c r="C180" s="27"/>
      <c r="D180" s="27"/>
      <c r="E180" s="27"/>
      <c r="F180" s="8"/>
      <c r="G180" s="8"/>
      <c r="H180" s="8"/>
      <c r="I180" s="8"/>
      <c r="J180" s="8"/>
      <c r="K180" s="8"/>
      <c r="L180" s="8"/>
      <c r="M180" s="8"/>
      <c r="N180" s="8"/>
      <c r="O180" s="8"/>
    </row>
    <row r="181" spans="1:15" x14ac:dyDescent="0.25">
      <c r="A181" s="8"/>
      <c r="B181" s="27"/>
      <c r="C181" s="27"/>
      <c r="D181" s="27"/>
      <c r="E181" s="27"/>
      <c r="F181" s="8"/>
      <c r="G181" s="8"/>
      <c r="H181" s="8"/>
      <c r="I181" s="8"/>
      <c r="J181" s="8"/>
      <c r="K181" s="8"/>
      <c r="L181" s="8"/>
      <c r="M181" s="8"/>
      <c r="N181" s="8"/>
      <c r="O181" s="8"/>
    </row>
    <row r="182" spans="1:15" x14ac:dyDescent="0.25">
      <c r="A182" s="8"/>
      <c r="B182" s="27"/>
      <c r="C182" s="27"/>
      <c r="D182" s="27"/>
      <c r="E182" s="27"/>
      <c r="F182" s="8"/>
      <c r="G182" s="8"/>
      <c r="H182" s="8"/>
      <c r="I182" s="8"/>
      <c r="J182" s="8"/>
      <c r="K182" s="8"/>
      <c r="L182" s="8"/>
      <c r="M182" s="8"/>
      <c r="N182" s="8"/>
      <c r="O182" s="8"/>
    </row>
    <row r="183" spans="1:15" x14ac:dyDescent="0.25">
      <c r="A183" s="8"/>
      <c r="B183" s="27"/>
      <c r="C183" s="27"/>
      <c r="D183" s="27"/>
      <c r="E183" s="27"/>
      <c r="F183" s="8"/>
      <c r="G183" s="8"/>
      <c r="H183" s="8"/>
      <c r="I183" s="8"/>
      <c r="J183" s="8"/>
      <c r="K183" s="8"/>
      <c r="L183" s="8"/>
      <c r="M183" s="8"/>
      <c r="N183" s="8"/>
      <c r="O183" s="8"/>
    </row>
    <row r="184" spans="1:15" x14ac:dyDescent="0.25">
      <c r="A184" s="8"/>
      <c r="B184" s="27"/>
      <c r="C184" s="27"/>
      <c r="D184" s="27"/>
      <c r="E184" s="27"/>
      <c r="F184" s="8"/>
      <c r="G184" s="8"/>
      <c r="H184" s="8"/>
      <c r="I184" s="8"/>
      <c r="J184" s="8"/>
      <c r="K184" s="8"/>
      <c r="L184" s="8"/>
      <c r="M184" s="8"/>
      <c r="N184" s="8"/>
      <c r="O184" s="8"/>
    </row>
    <row r="185" spans="1:15" x14ac:dyDescent="0.25">
      <c r="A185" s="8"/>
      <c r="B185" s="27"/>
      <c r="C185" s="27"/>
      <c r="D185" s="27"/>
      <c r="E185" s="27"/>
      <c r="F185" s="8"/>
      <c r="G185" s="8"/>
      <c r="H185" s="8"/>
      <c r="I185" s="8"/>
      <c r="J185" s="8"/>
      <c r="K185" s="8"/>
      <c r="L185" s="8"/>
      <c r="M185" s="8"/>
      <c r="N185" s="8"/>
      <c r="O185" s="8"/>
    </row>
    <row r="186" spans="1:15" x14ac:dyDescent="0.25">
      <c r="A186" s="8"/>
      <c r="B186" s="27"/>
      <c r="C186" s="27"/>
      <c r="D186" s="27"/>
      <c r="E186" s="27"/>
      <c r="F186" s="8"/>
      <c r="G186" s="8"/>
      <c r="H186" s="8"/>
      <c r="I186" s="8"/>
      <c r="J186" s="8"/>
      <c r="K186" s="8"/>
      <c r="L186" s="8"/>
      <c r="M186" s="8"/>
      <c r="N186" s="8"/>
      <c r="O186" s="8"/>
    </row>
    <row r="187" spans="1:15" x14ac:dyDescent="0.25">
      <c r="A187" s="8"/>
      <c r="B187" s="27"/>
      <c r="C187" s="27"/>
      <c r="D187" s="27"/>
      <c r="E187" s="27"/>
      <c r="F187" s="8"/>
      <c r="G187" s="8"/>
      <c r="H187" s="8"/>
      <c r="I187" s="8"/>
      <c r="J187" s="8"/>
      <c r="K187" s="8"/>
      <c r="L187" s="8"/>
      <c r="M187" s="8"/>
      <c r="N187" s="8"/>
      <c r="O187" s="8"/>
    </row>
    <row r="188" spans="1:15" x14ac:dyDescent="0.25">
      <c r="A188" s="8"/>
      <c r="B188" s="27"/>
      <c r="C188" s="27"/>
      <c r="D188" s="27"/>
      <c r="E188" s="27"/>
      <c r="F188" s="8"/>
      <c r="G188" s="8"/>
      <c r="H188" s="8"/>
      <c r="I188" s="8"/>
      <c r="J188" s="8"/>
      <c r="K188" s="8"/>
      <c r="L188" s="8"/>
      <c r="M188" s="8"/>
      <c r="N188" s="8"/>
      <c r="O188" s="8"/>
    </row>
    <row r="189" spans="1:15" x14ac:dyDescent="0.25">
      <c r="A189" s="8"/>
      <c r="B189" s="27"/>
      <c r="C189" s="27"/>
      <c r="D189" s="27"/>
      <c r="E189" s="27"/>
      <c r="F189" s="8"/>
      <c r="G189" s="8"/>
      <c r="H189" s="8"/>
      <c r="I189" s="8"/>
      <c r="J189" s="8"/>
      <c r="K189" s="8"/>
      <c r="L189" s="8"/>
      <c r="M189" s="8"/>
      <c r="N189" s="8"/>
      <c r="O189" s="8"/>
    </row>
    <row r="190" spans="1:15" x14ac:dyDescent="0.25">
      <c r="A190" s="8"/>
      <c r="B190" s="27"/>
      <c r="C190" s="27"/>
      <c r="D190" s="27"/>
      <c r="E190" s="27"/>
      <c r="F190" s="8"/>
      <c r="G190" s="8"/>
      <c r="H190" s="8"/>
      <c r="I190" s="8"/>
      <c r="J190" s="8"/>
      <c r="K190" s="8"/>
      <c r="L190" s="8"/>
      <c r="M190" s="8"/>
      <c r="N190" s="8"/>
      <c r="O190" s="8"/>
    </row>
    <row r="191" spans="1:15" x14ac:dyDescent="0.25">
      <c r="A191" s="8"/>
      <c r="B191" s="27"/>
      <c r="C191" s="27"/>
      <c r="D191" s="27"/>
      <c r="E191" s="27"/>
      <c r="F191" s="8"/>
      <c r="G191" s="8"/>
      <c r="H191" s="8"/>
      <c r="I191" s="8"/>
      <c r="J191" s="8"/>
      <c r="K191" s="8"/>
      <c r="L191" s="8"/>
      <c r="M191" s="8"/>
      <c r="N191" s="8"/>
      <c r="O191" s="8"/>
    </row>
    <row r="192" spans="1:15" x14ac:dyDescent="0.25">
      <c r="A192" s="8"/>
      <c r="B192" s="27"/>
      <c r="C192" s="27"/>
      <c r="D192" s="27"/>
      <c r="E192" s="27"/>
      <c r="F192" s="8"/>
      <c r="G192" s="8"/>
      <c r="H192" s="8"/>
      <c r="I192" s="8"/>
      <c r="J192" s="8"/>
      <c r="K192" s="8"/>
      <c r="L192" s="8"/>
      <c r="M192" s="8"/>
      <c r="N192" s="8"/>
      <c r="O192" s="8"/>
    </row>
    <row r="193" spans="1:15" x14ac:dyDescent="0.25">
      <c r="A193" s="8"/>
      <c r="B193" s="27"/>
      <c r="C193" s="27"/>
      <c r="D193" s="27"/>
      <c r="E193" s="27"/>
      <c r="F193" s="8"/>
      <c r="G193" s="8"/>
      <c r="H193" s="8"/>
      <c r="I193" s="8"/>
      <c r="J193" s="8"/>
      <c r="K193" s="8"/>
      <c r="L193" s="8"/>
      <c r="M193" s="8"/>
      <c r="N193" s="8"/>
      <c r="O193" s="8"/>
    </row>
    <row r="194" spans="1:15" x14ac:dyDescent="0.25">
      <c r="A194" s="8"/>
      <c r="B194" s="27"/>
      <c r="C194" s="27"/>
      <c r="D194" s="27"/>
      <c r="E194" s="27"/>
      <c r="F194" s="8"/>
      <c r="G194" s="8"/>
      <c r="H194" s="8"/>
      <c r="I194" s="8"/>
      <c r="J194" s="8"/>
      <c r="K194" s="8"/>
      <c r="L194" s="8"/>
      <c r="M194" s="8"/>
      <c r="N194" s="8"/>
      <c r="O194" s="8"/>
    </row>
    <row r="195" spans="1:15" x14ac:dyDescent="0.25">
      <c r="A195" s="8"/>
      <c r="B195" s="27"/>
      <c r="C195" s="27"/>
      <c r="D195" s="27"/>
      <c r="E195" s="27"/>
      <c r="F195" s="8"/>
      <c r="G195" s="8"/>
      <c r="H195" s="8"/>
      <c r="I195" s="8"/>
      <c r="J195" s="8"/>
      <c r="K195" s="8"/>
      <c r="L195" s="8"/>
      <c r="M195" s="8"/>
      <c r="N195" s="8"/>
      <c r="O195" s="8"/>
    </row>
    <row r="196" spans="1:15" x14ac:dyDescent="0.25">
      <c r="A196" s="8"/>
      <c r="B196" s="27"/>
      <c r="C196" s="27"/>
      <c r="D196" s="27"/>
      <c r="E196" s="27"/>
      <c r="F196" s="8"/>
      <c r="G196" s="8"/>
      <c r="H196" s="8"/>
      <c r="I196" s="8"/>
      <c r="J196" s="8"/>
      <c r="K196" s="8"/>
      <c r="L196" s="8"/>
      <c r="M196" s="8"/>
      <c r="N196" s="8"/>
      <c r="O196" s="8"/>
    </row>
    <row r="197" spans="1:15" x14ac:dyDescent="0.25">
      <c r="A197" s="8"/>
      <c r="B197" s="27"/>
      <c r="C197" s="27"/>
      <c r="D197" s="27"/>
      <c r="E197" s="27"/>
      <c r="F197" s="8"/>
      <c r="G197" s="8"/>
      <c r="H197" s="8"/>
      <c r="I197" s="8"/>
      <c r="J197" s="8"/>
      <c r="K197" s="8"/>
      <c r="L197" s="8"/>
      <c r="M197" s="8"/>
      <c r="N197" s="8"/>
      <c r="O197" s="8"/>
    </row>
    <row r="198" spans="1:15" x14ac:dyDescent="0.25">
      <c r="A198" s="8"/>
      <c r="B198" s="27"/>
      <c r="C198" s="27"/>
      <c r="D198" s="27"/>
      <c r="E198" s="27"/>
      <c r="F198" s="8"/>
      <c r="G198" s="8"/>
      <c r="H198" s="8"/>
      <c r="I198" s="8"/>
      <c r="J198" s="8"/>
      <c r="K198" s="8"/>
      <c r="L198" s="8"/>
      <c r="M198" s="8"/>
      <c r="N198" s="8"/>
      <c r="O198" s="8"/>
    </row>
    <row r="199" spans="1:15" x14ac:dyDescent="0.25">
      <c r="A199" s="8"/>
      <c r="B199" s="27"/>
      <c r="C199" s="27"/>
      <c r="D199" s="27"/>
      <c r="E199" s="27"/>
      <c r="F199" s="8"/>
      <c r="G199" s="8"/>
      <c r="H199" s="8"/>
      <c r="I199" s="8"/>
      <c r="J199" s="8"/>
      <c r="K199" s="8"/>
      <c r="L199" s="8"/>
      <c r="M199" s="8"/>
      <c r="N199" s="8"/>
      <c r="O199" s="8"/>
    </row>
    <row r="200" spans="1:15" x14ac:dyDescent="0.25">
      <c r="A200" s="8"/>
      <c r="B200" s="27"/>
      <c r="C200" s="27"/>
      <c r="D200" s="27"/>
      <c r="E200" s="27"/>
      <c r="F200" s="8"/>
      <c r="G200" s="8"/>
      <c r="H200" s="8"/>
      <c r="I200" s="8"/>
      <c r="J200" s="8"/>
      <c r="K200" s="8"/>
      <c r="L200" s="8"/>
      <c r="M200" s="8"/>
      <c r="N200" s="8"/>
      <c r="O200" s="8"/>
    </row>
    <row r="201" spans="1:15" x14ac:dyDescent="0.25">
      <c r="A201" s="8"/>
      <c r="B201" s="27"/>
      <c r="C201" s="27"/>
      <c r="D201" s="27"/>
      <c r="E201" s="27"/>
      <c r="F201" s="8"/>
      <c r="G201" s="8"/>
      <c r="H201" s="8"/>
      <c r="I201" s="8"/>
      <c r="J201" s="8"/>
      <c r="K201" s="8"/>
      <c r="L201" s="8"/>
      <c r="M201" s="8"/>
      <c r="N201" s="8"/>
      <c r="O201" s="8"/>
    </row>
    <row r="202" spans="1:15" x14ac:dyDescent="0.25">
      <c r="A202" s="8"/>
      <c r="B202" s="27"/>
      <c r="C202" s="27"/>
      <c r="D202" s="27"/>
      <c r="E202" s="27"/>
      <c r="F202" s="8"/>
      <c r="G202" s="8"/>
      <c r="H202" s="8"/>
      <c r="I202" s="8"/>
      <c r="J202" s="8"/>
      <c r="K202" s="8"/>
      <c r="L202" s="8"/>
      <c r="M202" s="8"/>
      <c r="N202" s="8"/>
      <c r="O202" s="8"/>
    </row>
    <row r="203" spans="1:15" x14ac:dyDescent="0.25">
      <c r="A203" s="8"/>
      <c r="B203" s="27"/>
      <c r="C203" s="27"/>
      <c r="D203" s="27"/>
      <c r="E203" s="27"/>
      <c r="F203" s="8"/>
      <c r="G203" s="8"/>
      <c r="H203" s="8"/>
      <c r="I203" s="8"/>
      <c r="J203" s="8"/>
      <c r="K203" s="8"/>
      <c r="L203" s="8"/>
      <c r="M203" s="8"/>
      <c r="N203" s="8"/>
      <c r="O203" s="8"/>
    </row>
    <row r="204" spans="1:15" x14ac:dyDescent="0.25">
      <c r="A204" s="8"/>
      <c r="B204" s="27"/>
      <c r="C204" s="27"/>
      <c r="D204" s="27"/>
      <c r="E204" s="27"/>
      <c r="F204" s="8"/>
      <c r="G204" s="8"/>
      <c r="H204" s="8"/>
      <c r="I204" s="8"/>
      <c r="J204" s="8"/>
      <c r="K204" s="8"/>
      <c r="L204" s="8"/>
      <c r="M204" s="8"/>
      <c r="N204" s="8"/>
      <c r="O204" s="8"/>
    </row>
    <row r="205" spans="1:15" x14ac:dyDescent="0.25">
      <c r="A205" s="8"/>
      <c r="B205" s="27"/>
      <c r="C205" s="27"/>
      <c r="D205" s="27"/>
      <c r="E205" s="27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1:15" x14ac:dyDescent="0.25">
      <c r="A206" s="8"/>
      <c r="B206" s="27"/>
      <c r="C206" s="27"/>
      <c r="D206" s="27"/>
      <c r="E206" s="27"/>
      <c r="F206" s="8"/>
      <c r="G206" s="8"/>
      <c r="H206" s="8"/>
      <c r="I206" s="8"/>
      <c r="J206" s="8"/>
      <c r="K206" s="8"/>
      <c r="L206" s="8"/>
      <c r="M206" s="8"/>
      <c r="N206" s="8"/>
      <c r="O206" s="8"/>
    </row>
    <row r="207" spans="1:15" x14ac:dyDescent="0.25">
      <c r="A207" s="8"/>
      <c r="B207" s="27"/>
      <c r="C207" s="27"/>
      <c r="D207" s="27"/>
      <c r="E207" s="27"/>
      <c r="F207" s="8"/>
      <c r="G207" s="8"/>
      <c r="H207" s="8"/>
      <c r="I207" s="8"/>
      <c r="J207" s="8"/>
      <c r="K207" s="8"/>
      <c r="L207" s="8"/>
      <c r="M207" s="8"/>
      <c r="N207" s="8"/>
      <c r="O207" s="8"/>
    </row>
    <row r="208" spans="1:15" x14ac:dyDescent="0.25">
      <c r="A208" s="8"/>
      <c r="B208" s="27"/>
      <c r="C208" s="27"/>
      <c r="D208" s="27"/>
      <c r="E208" s="27"/>
      <c r="F208" s="8"/>
      <c r="G208" s="8"/>
      <c r="H208" s="8"/>
      <c r="I208" s="8"/>
      <c r="J208" s="8"/>
      <c r="K208" s="8"/>
      <c r="L208" s="8"/>
      <c r="M208" s="8"/>
      <c r="N208" s="8"/>
      <c r="O208" s="8"/>
    </row>
    <row r="209" spans="1:15" x14ac:dyDescent="0.25">
      <c r="A209" s="8"/>
      <c r="B209" s="27"/>
      <c r="C209" s="27"/>
      <c r="D209" s="27"/>
      <c r="E209" s="27"/>
      <c r="F209" s="8"/>
      <c r="G209" s="8"/>
      <c r="H209" s="8"/>
      <c r="I209" s="8"/>
      <c r="J209" s="8"/>
      <c r="K209" s="8"/>
      <c r="L209" s="8"/>
      <c r="M209" s="8"/>
      <c r="N209" s="8"/>
      <c r="O209" s="8"/>
    </row>
    <row r="210" spans="1:15" x14ac:dyDescent="0.25">
      <c r="A210" s="8"/>
      <c r="B210" s="27"/>
      <c r="C210" s="27"/>
      <c r="D210" s="27"/>
      <c r="E210" s="27"/>
      <c r="F210" s="8"/>
      <c r="G210" s="8"/>
      <c r="H210" s="8"/>
      <c r="I210" s="8"/>
      <c r="J210" s="8"/>
      <c r="K210" s="8"/>
      <c r="L210" s="8"/>
      <c r="M210" s="8"/>
      <c r="N210" s="8"/>
      <c r="O210" s="8"/>
    </row>
    <row r="211" spans="1:15" x14ac:dyDescent="0.25">
      <c r="A211" s="8"/>
      <c r="B211" s="27"/>
      <c r="C211" s="27"/>
      <c r="D211" s="27"/>
      <c r="E211" s="27"/>
      <c r="F211" s="8"/>
      <c r="G211" s="8"/>
      <c r="H211" s="8"/>
      <c r="I211" s="8"/>
      <c r="J211" s="8"/>
      <c r="K211" s="8"/>
      <c r="L211" s="8"/>
      <c r="M211" s="8"/>
      <c r="N211" s="8"/>
      <c r="O211" s="8"/>
    </row>
    <row r="212" spans="1:15" x14ac:dyDescent="0.25">
      <c r="A212" s="8"/>
      <c r="B212" s="27"/>
      <c r="C212" s="27"/>
      <c r="D212" s="27"/>
      <c r="E212" s="27"/>
      <c r="F212" s="8"/>
      <c r="G212" s="8"/>
      <c r="H212" s="8"/>
      <c r="I212" s="8"/>
      <c r="J212" s="8"/>
      <c r="K212" s="8"/>
      <c r="L212" s="8"/>
      <c r="M212" s="8"/>
      <c r="N212" s="8"/>
      <c r="O212" s="8"/>
    </row>
    <row r="213" spans="1:15" x14ac:dyDescent="0.25">
      <c r="A213" s="8"/>
      <c r="B213" s="27"/>
      <c r="C213" s="27"/>
      <c r="D213" s="27"/>
      <c r="E213" s="27"/>
      <c r="F213" s="8"/>
      <c r="G213" s="8"/>
      <c r="H213" s="8"/>
      <c r="I213" s="8"/>
      <c r="J213" s="8"/>
      <c r="K213" s="8"/>
      <c r="L213" s="8"/>
      <c r="M213" s="8"/>
      <c r="N213" s="8"/>
      <c r="O213" s="8"/>
    </row>
    <row r="214" spans="1:15" x14ac:dyDescent="0.25">
      <c r="A214" s="8"/>
      <c r="B214" s="27"/>
      <c r="C214" s="27"/>
      <c r="D214" s="27"/>
      <c r="E214" s="27"/>
      <c r="F214" s="8"/>
      <c r="G214" s="8"/>
      <c r="H214" s="8"/>
      <c r="I214" s="8"/>
      <c r="J214" s="8"/>
      <c r="K214" s="8"/>
      <c r="L214" s="8"/>
      <c r="M214" s="8"/>
      <c r="N214" s="8"/>
      <c r="O214" s="8"/>
    </row>
    <row r="215" spans="1:15" x14ac:dyDescent="0.25">
      <c r="A215" s="8"/>
      <c r="B215" s="27"/>
      <c r="C215" s="27"/>
      <c r="D215" s="27"/>
      <c r="E215" s="27"/>
      <c r="F215" s="8"/>
      <c r="G215" s="8"/>
      <c r="H215" s="8"/>
      <c r="I215" s="8"/>
      <c r="J215" s="8"/>
      <c r="K215" s="8"/>
      <c r="L215" s="8"/>
      <c r="M215" s="8"/>
      <c r="N215" s="8"/>
      <c r="O215" s="8"/>
    </row>
    <row r="216" spans="1:15" x14ac:dyDescent="0.25">
      <c r="A216" s="8"/>
      <c r="B216" s="27"/>
      <c r="C216" s="27"/>
      <c r="D216" s="27"/>
      <c r="E216" s="27"/>
      <c r="F216" s="8"/>
      <c r="G216" s="8"/>
      <c r="H216" s="8"/>
      <c r="I216" s="8"/>
      <c r="J216" s="8"/>
      <c r="K216" s="8"/>
      <c r="L216" s="8"/>
      <c r="M216" s="8"/>
      <c r="N216" s="8"/>
      <c r="O216" s="8"/>
    </row>
    <row r="217" spans="1:15" x14ac:dyDescent="0.25">
      <c r="A217" s="8"/>
      <c r="B217" s="27"/>
      <c r="C217" s="27"/>
      <c r="D217" s="27"/>
      <c r="E217" s="27"/>
      <c r="F217" s="8"/>
      <c r="G217" s="8"/>
      <c r="H217" s="8"/>
      <c r="I217" s="8"/>
      <c r="J217" s="8"/>
      <c r="K217" s="8"/>
      <c r="L217" s="8"/>
      <c r="M217" s="8"/>
      <c r="N217" s="8"/>
      <c r="O217" s="8"/>
    </row>
    <row r="218" spans="1:15" x14ac:dyDescent="0.25">
      <c r="A218" s="8"/>
      <c r="B218" s="27"/>
      <c r="C218" s="27"/>
      <c r="D218" s="27"/>
      <c r="E218" s="27"/>
      <c r="F218" s="8"/>
      <c r="G218" s="8"/>
      <c r="H218" s="8"/>
      <c r="I218" s="8"/>
      <c r="J218" s="8"/>
      <c r="K218" s="8"/>
      <c r="L218" s="8"/>
      <c r="M218" s="8"/>
      <c r="N218" s="8"/>
      <c r="O218" s="8"/>
    </row>
    <row r="219" spans="1:15" x14ac:dyDescent="0.25">
      <c r="A219" s="8"/>
      <c r="B219" s="27"/>
      <c r="C219" s="27"/>
      <c r="D219" s="27"/>
      <c r="E219" s="27"/>
      <c r="F219" s="8"/>
      <c r="G219" s="8"/>
      <c r="H219" s="8"/>
      <c r="I219" s="8"/>
      <c r="J219" s="8"/>
      <c r="K219" s="8"/>
      <c r="L219" s="8"/>
      <c r="M219" s="8"/>
      <c r="N219" s="8"/>
      <c r="O219" s="8"/>
    </row>
    <row r="220" spans="1:15" x14ac:dyDescent="0.25">
      <c r="A220" s="8"/>
      <c r="B220" s="27"/>
      <c r="C220" s="27"/>
      <c r="D220" s="27"/>
      <c r="E220" s="27"/>
      <c r="F220" s="8"/>
      <c r="G220" s="8"/>
      <c r="H220" s="8"/>
      <c r="I220" s="8"/>
      <c r="J220" s="8"/>
      <c r="K220" s="8"/>
      <c r="L220" s="8"/>
      <c r="M220" s="8"/>
      <c r="N220" s="8"/>
      <c r="O220" s="8"/>
    </row>
    <row r="221" spans="1:15" x14ac:dyDescent="0.25">
      <c r="A221" s="8"/>
      <c r="B221" s="27"/>
      <c r="C221" s="27"/>
      <c r="D221" s="27"/>
      <c r="E221" s="27"/>
      <c r="F221" s="8"/>
      <c r="G221" s="8"/>
      <c r="H221" s="8"/>
      <c r="I221" s="8"/>
      <c r="J221" s="8"/>
      <c r="K221" s="8"/>
      <c r="L221" s="8"/>
      <c r="M221" s="8"/>
      <c r="N221" s="8"/>
      <c r="O221" s="8"/>
    </row>
    <row r="222" spans="1:15" x14ac:dyDescent="0.25">
      <c r="A222" s="8"/>
      <c r="B222" s="27"/>
      <c r="C222" s="27"/>
      <c r="D222" s="27"/>
      <c r="E222" s="27"/>
      <c r="F222" s="8"/>
      <c r="G222" s="8"/>
      <c r="H222" s="8"/>
      <c r="I222" s="8"/>
      <c r="J222" s="8"/>
      <c r="K222" s="8"/>
      <c r="L222" s="8"/>
      <c r="M222" s="8"/>
      <c r="N222" s="8"/>
      <c r="O222" s="8"/>
    </row>
    <row r="223" spans="1:15" x14ac:dyDescent="0.25">
      <c r="A223" s="8"/>
      <c r="B223" s="27"/>
      <c r="C223" s="27"/>
      <c r="D223" s="27"/>
      <c r="E223" s="27"/>
      <c r="F223" s="8"/>
      <c r="G223" s="8"/>
      <c r="H223" s="8"/>
      <c r="I223" s="8"/>
      <c r="J223" s="8"/>
      <c r="K223" s="8"/>
      <c r="L223" s="8"/>
      <c r="M223" s="8"/>
      <c r="N223" s="8"/>
      <c r="O223" s="8"/>
    </row>
    <row r="224" spans="1:15" x14ac:dyDescent="0.25">
      <c r="A224" s="8"/>
      <c r="B224" s="27"/>
      <c r="C224" s="27"/>
      <c r="D224" s="27"/>
      <c r="E224" s="27"/>
      <c r="F224" s="8"/>
      <c r="G224" s="8"/>
      <c r="H224" s="8"/>
      <c r="I224" s="8"/>
      <c r="J224" s="8"/>
      <c r="K224" s="8"/>
      <c r="L224" s="8"/>
      <c r="M224" s="8"/>
      <c r="N224" s="8"/>
      <c r="O224" s="8"/>
    </row>
    <row r="225" spans="1:15" x14ac:dyDescent="0.25">
      <c r="A225" s="8"/>
      <c r="B225" s="27"/>
      <c r="C225" s="27"/>
      <c r="D225" s="27"/>
      <c r="E225" s="27"/>
      <c r="F225" s="8"/>
      <c r="G225" s="8"/>
      <c r="H225" s="8"/>
      <c r="I225" s="8"/>
      <c r="J225" s="8"/>
      <c r="K225" s="8"/>
      <c r="L225" s="8"/>
      <c r="M225" s="8"/>
      <c r="N225" s="8"/>
      <c r="O225" s="8"/>
    </row>
    <row r="226" spans="1:15" x14ac:dyDescent="0.25">
      <c r="A226" s="8"/>
      <c r="B226" s="27"/>
      <c r="C226" s="27"/>
      <c r="D226" s="27"/>
      <c r="E226" s="27"/>
      <c r="F226" s="8"/>
      <c r="G226" s="8"/>
      <c r="H226" s="8"/>
      <c r="I226" s="8"/>
      <c r="J226" s="8"/>
      <c r="K226" s="8"/>
      <c r="L226" s="8"/>
      <c r="M226" s="8"/>
      <c r="N226" s="8"/>
      <c r="O226" s="8"/>
    </row>
    <row r="227" spans="1:15" x14ac:dyDescent="0.25">
      <c r="A227" s="8"/>
      <c r="B227" s="27"/>
      <c r="C227" s="27"/>
      <c r="D227" s="27"/>
      <c r="E227" s="27"/>
      <c r="F227" s="8"/>
      <c r="G227" s="8"/>
      <c r="H227" s="8"/>
      <c r="I227" s="8"/>
      <c r="J227" s="8"/>
      <c r="K227" s="8"/>
      <c r="L227" s="8"/>
      <c r="M227" s="8"/>
      <c r="N227" s="8"/>
      <c r="O227" s="8"/>
    </row>
    <row r="228" spans="1:15" x14ac:dyDescent="0.25">
      <c r="A228" s="8"/>
      <c r="B228" s="27"/>
      <c r="C228" s="27"/>
      <c r="D228" s="27"/>
      <c r="E228" s="27"/>
      <c r="F228" s="8"/>
      <c r="G228" s="8"/>
      <c r="H228" s="8"/>
      <c r="I228" s="8"/>
      <c r="J228" s="8"/>
      <c r="K228" s="8"/>
      <c r="L228" s="8"/>
      <c r="M228" s="8"/>
      <c r="N228" s="8"/>
      <c r="O228" s="8"/>
    </row>
    <row r="229" spans="1:15" x14ac:dyDescent="0.25">
      <c r="A229" s="8"/>
      <c r="B229" s="27"/>
      <c r="C229" s="27"/>
      <c r="D229" s="27"/>
      <c r="E229" s="27"/>
      <c r="F229" s="8"/>
      <c r="G229" s="8"/>
      <c r="H229" s="8"/>
      <c r="I229" s="8"/>
      <c r="J229" s="8"/>
      <c r="K229" s="8"/>
      <c r="L229" s="8"/>
      <c r="M229" s="8"/>
      <c r="N229" s="8"/>
      <c r="O229" s="8"/>
    </row>
    <row r="230" spans="1:15" x14ac:dyDescent="0.25">
      <c r="A230" s="8"/>
      <c r="B230" s="27"/>
      <c r="C230" s="27"/>
      <c r="D230" s="27"/>
      <c r="E230" s="27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1:15" x14ac:dyDescent="0.25">
      <c r="A231" s="8"/>
      <c r="B231" s="27"/>
      <c r="C231" s="27"/>
      <c r="D231" s="27"/>
      <c r="E231" s="27"/>
      <c r="F231" s="8"/>
      <c r="G231" s="8"/>
      <c r="H231" s="8"/>
      <c r="I231" s="8"/>
      <c r="J231" s="8"/>
      <c r="K231" s="8"/>
      <c r="L231" s="8"/>
      <c r="M231" s="8"/>
      <c r="N231" s="8"/>
      <c r="O231" s="8"/>
    </row>
    <row r="232" spans="1:15" x14ac:dyDescent="0.25">
      <c r="A232" s="8"/>
      <c r="B232" s="27"/>
      <c r="C232" s="27"/>
      <c r="D232" s="27"/>
      <c r="E232" s="27"/>
      <c r="F232" s="8"/>
      <c r="G232" s="8"/>
      <c r="H232" s="8"/>
      <c r="I232" s="8"/>
      <c r="J232" s="8"/>
      <c r="K232" s="8"/>
      <c r="L232" s="8"/>
      <c r="M232" s="8"/>
      <c r="N232" s="8"/>
      <c r="O232" s="8"/>
    </row>
    <row r="233" spans="1:15" x14ac:dyDescent="0.25">
      <c r="A233" s="8"/>
      <c r="B233" s="27"/>
      <c r="C233" s="27"/>
      <c r="D233" s="27"/>
      <c r="E233" s="27"/>
      <c r="F233" s="8"/>
      <c r="G233" s="8"/>
      <c r="H233" s="8"/>
      <c r="I233" s="8"/>
      <c r="J233" s="8"/>
      <c r="K233" s="8"/>
      <c r="L233" s="8"/>
      <c r="M233" s="8"/>
      <c r="N233" s="8"/>
      <c r="O233" s="8"/>
    </row>
    <row r="234" spans="1:15" x14ac:dyDescent="0.25">
      <c r="A234" s="8"/>
      <c r="B234" s="27"/>
      <c r="C234" s="27"/>
      <c r="D234" s="27"/>
      <c r="E234" s="27"/>
      <c r="F234" s="8"/>
      <c r="G234" s="8"/>
      <c r="H234" s="8"/>
      <c r="I234" s="8"/>
      <c r="J234" s="8"/>
      <c r="K234" s="8"/>
      <c r="L234" s="8"/>
      <c r="M234" s="8"/>
      <c r="N234" s="8"/>
      <c r="O234" s="8"/>
    </row>
    <row r="235" spans="1:15" x14ac:dyDescent="0.25">
      <c r="A235" s="8"/>
      <c r="B235" s="27"/>
      <c r="C235" s="27"/>
      <c r="D235" s="27"/>
      <c r="E235" s="27"/>
      <c r="F235" s="8"/>
      <c r="G235" s="8"/>
      <c r="H235" s="8"/>
      <c r="I235" s="8"/>
      <c r="J235" s="8"/>
      <c r="K235" s="8"/>
      <c r="L235" s="8"/>
      <c r="M235" s="8"/>
      <c r="N235" s="8"/>
      <c r="O235" s="8"/>
    </row>
    <row r="236" spans="1:15" x14ac:dyDescent="0.25">
      <c r="A236" s="8"/>
      <c r="B236" s="27"/>
      <c r="C236" s="27"/>
      <c r="D236" s="27"/>
      <c r="E236" s="27"/>
      <c r="F236" s="8"/>
      <c r="G236" s="8"/>
      <c r="H236" s="8"/>
      <c r="I236" s="8"/>
      <c r="J236" s="8"/>
      <c r="K236" s="8"/>
      <c r="L236" s="8"/>
      <c r="M236" s="8"/>
      <c r="N236" s="8"/>
      <c r="O236" s="8"/>
    </row>
    <row r="237" spans="1:15" x14ac:dyDescent="0.25">
      <c r="A237" s="8"/>
      <c r="B237" s="27"/>
      <c r="C237" s="27"/>
      <c r="D237" s="27"/>
      <c r="E237" s="27"/>
      <c r="F237" s="8"/>
      <c r="G237" s="8"/>
      <c r="H237" s="8"/>
      <c r="I237" s="8"/>
      <c r="J237" s="8"/>
      <c r="K237" s="8"/>
      <c r="L237" s="8"/>
      <c r="M237" s="8"/>
      <c r="N237" s="8"/>
      <c r="O237" s="8"/>
    </row>
    <row r="238" spans="1:15" x14ac:dyDescent="0.25">
      <c r="A238" s="8"/>
      <c r="B238" s="27"/>
      <c r="C238" s="27"/>
      <c r="D238" s="27"/>
      <c r="E238" s="27"/>
      <c r="F238" s="8"/>
      <c r="G238" s="8"/>
      <c r="H238" s="8"/>
      <c r="I238" s="8"/>
      <c r="J238" s="8"/>
      <c r="K238" s="8"/>
      <c r="L238" s="8"/>
      <c r="M238" s="8"/>
      <c r="N238" s="8"/>
      <c r="O238" s="8"/>
    </row>
    <row r="239" spans="1:15" x14ac:dyDescent="0.25">
      <c r="A239" s="8"/>
      <c r="B239" s="27"/>
      <c r="C239" s="27"/>
      <c r="D239" s="27"/>
      <c r="E239" s="27"/>
      <c r="F239" s="8"/>
      <c r="G239" s="8"/>
      <c r="H239" s="8"/>
      <c r="I239" s="8"/>
      <c r="J239" s="8"/>
      <c r="K239" s="8"/>
      <c r="L239" s="8"/>
      <c r="M239" s="8"/>
      <c r="N239" s="8"/>
      <c r="O239" s="8"/>
    </row>
    <row r="240" spans="1:15" x14ac:dyDescent="0.25">
      <c r="A240" s="8"/>
      <c r="B240" s="27"/>
      <c r="C240" s="27"/>
      <c r="D240" s="27"/>
      <c r="E240" s="27"/>
      <c r="F240" s="8"/>
      <c r="G240" s="8"/>
      <c r="H240" s="8"/>
      <c r="I240" s="8"/>
      <c r="J240" s="8"/>
      <c r="K240" s="8"/>
      <c r="L240" s="8"/>
      <c r="M240" s="8"/>
      <c r="N240" s="8"/>
      <c r="O240" s="8"/>
    </row>
    <row r="241" spans="1:15" x14ac:dyDescent="0.25">
      <c r="A241" s="8"/>
      <c r="B241" s="27"/>
      <c r="C241" s="27"/>
      <c r="D241" s="27"/>
      <c r="E241" s="27"/>
      <c r="F241" s="8"/>
      <c r="G241" s="8"/>
      <c r="H241" s="8"/>
      <c r="I241" s="8"/>
      <c r="J241" s="8"/>
      <c r="K241" s="8"/>
      <c r="L241" s="8"/>
      <c r="M241" s="8"/>
      <c r="N241" s="8"/>
      <c r="O241" s="8"/>
    </row>
    <row r="242" spans="1:15" x14ac:dyDescent="0.25">
      <c r="A242" s="8"/>
      <c r="B242" s="27"/>
      <c r="C242" s="27"/>
      <c r="D242" s="27"/>
      <c r="E242" s="27"/>
      <c r="F242" s="8"/>
      <c r="G242" s="8"/>
      <c r="H242" s="8"/>
      <c r="I242" s="8"/>
      <c r="J242" s="8"/>
      <c r="K242" s="8"/>
      <c r="L242" s="8"/>
      <c r="M242" s="8"/>
      <c r="N242" s="8"/>
      <c r="O242" s="8"/>
    </row>
    <row r="243" spans="1:15" x14ac:dyDescent="0.25">
      <c r="A243" s="8"/>
      <c r="B243" s="27"/>
      <c r="C243" s="27"/>
      <c r="D243" s="27"/>
      <c r="E243" s="27"/>
      <c r="F243" s="8"/>
      <c r="G243" s="8"/>
      <c r="H243" s="8"/>
      <c r="I243" s="8"/>
      <c r="J243" s="8"/>
      <c r="K243" s="8"/>
      <c r="L243" s="8"/>
      <c r="M243" s="8"/>
      <c r="N243" s="8"/>
      <c r="O243" s="8"/>
    </row>
    <row r="244" spans="1:15" x14ac:dyDescent="0.25">
      <c r="A244" s="8"/>
      <c r="B244" s="27"/>
      <c r="C244" s="27"/>
      <c r="D244" s="27"/>
      <c r="E244" s="27"/>
      <c r="F244" s="8"/>
      <c r="G244" s="8"/>
      <c r="H244" s="8"/>
      <c r="I244" s="8"/>
      <c r="J244" s="8"/>
      <c r="K244" s="8"/>
      <c r="L244" s="8"/>
      <c r="M244" s="8"/>
      <c r="N244" s="8"/>
      <c r="O244" s="8"/>
    </row>
    <row r="245" spans="1:15" x14ac:dyDescent="0.25">
      <c r="A245" s="8"/>
      <c r="B245" s="27"/>
      <c r="C245" s="27"/>
      <c r="D245" s="27"/>
      <c r="E245" s="27"/>
      <c r="F245" s="8"/>
      <c r="G245" s="8"/>
      <c r="H245" s="8"/>
      <c r="I245" s="8"/>
      <c r="J245" s="8"/>
      <c r="K245" s="8"/>
      <c r="L245" s="8"/>
      <c r="M245" s="8"/>
      <c r="N245" s="8"/>
      <c r="O245" s="8"/>
    </row>
    <row r="246" spans="1:15" x14ac:dyDescent="0.25">
      <c r="A246" s="8"/>
      <c r="B246" s="27"/>
      <c r="C246" s="27"/>
      <c r="D246" s="27"/>
      <c r="E246" s="27"/>
      <c r="F246" s="8"/>
      <c r="G246" s="8"/>
      <c r="H246" s="8"/>
      <c r="I246" s="8"/>
      <c r="J246" s="8"/>
      <c r="K246" s="8"/>
      <c r="L246" s="8"/>
      <c r="M246" s="8"/>
      <c r="N246" s="8"/>
      <c r="O246" s="8"/>
    </row>
    <row r="247" spans="1:15" x14ac:dyDescent="0.25">
      <c r="A247" s="8"/>
      <c r="B247" s="27"/>
      <c r="C247" s="27"/>
      <c r="D247" s="27"/>
      <c r="E247" s="27"/>
      <c r="F247" s="8"/>
      <c r="G247" s="8"/>
      <c r="H247" s="8"/>
      <c r="I247" s="8"/>
      <c r="J247" s="8"/>
      <c r="K247" s="8"/>
      <c r="L247" s="8"/>
      <c r="M247" s="8"/>
      <c r="N247" s="8"/>
      <c r="O247" s="8"/>
    </row>
    <row r="248" spans="1:15" x14ac:dyDescent="0.25">
      <c r="A248" s="8"/>
      <c r="B248" s="27"/>
      <c r="C248" s="27"/>
      <c r="D248" s="27"/>
      <c r="E248" s="27"/>
      <c r="F248" s="8"/>
      <c r="G248" s="8"/>
      <c r="H248" s="8"/>
      <c r="I248" s="8"/>
      <c r="J248" s="8"/>
      <c r="K248" s="8"/>
      <c r="L248" s="8"/>
      <c r="M248" s="8"/>
      <c r="N248" s="8"/>
      <c r="O248" s="8"/>
    </row>
    <row r="249" spans="1:15" x14ac:dyDescent="0.25">
      <c r="A249" s="8"/>
      <c r="B249" s="27"/>
      <c r="C249" s="27"/>
      <c r="D249" s="27"/>
      <c r="E249" s="27"/>
      <c r="F249" s="8"/>
      <c r="G249" s="8"/>
      <c r="H249" s="8"/>
      <c r="I249" s="8"/>
      <c r="J249" s="8"/>
      <c r="K249" s="8"/>
      <c r="L249" s="8"/>
      <c r="M249" s="8"/>
      <c r="N249" s="8"/>
      <c r="O249" s="8"/>
    </row>
    <row r="250" spans="1:15" x14ac:dyDescent="0.25">
      <c r="A250" s="8"/>
      <c r="B250" s="27"/>
      <c r="C250" s="27"/>
      <c r="D250" s="27"/>
      <c r="E250" s="27"/>
      <c r="F250" s="8"/>
      <c r="G250" s="8"/>
      <c r="H250" s="8"/>
      <c r="I250" s="8"/>
      <c r="J250" s="8"/>
      <c r="K250" s="8"/>
      <c r="L250" s="8"/>
      <c r="M250" s="8"/>
      <c r="N250" s="8"/>
      <c r="O250" s="8"/>
    </row>
    <row r="251" spans="1:15" x14ac:dyDescent="0.25">
      <c r="A251" s="8"/>
      <c r="B251" s="27"/>
      <c r="C251" s="27"/>
      <c r="D251" s="27"/>
      <c r="E251" s="27"/>
      <c r="F251" s="8"/>
      <c r="G251" s="8"/>
      <c r="H251" s="8"/>
      <c r="I251" s="8"/>
      <c r="J251" s="8"/>
      <c r="K251" s="8"/>
      <c r="L251" s="8"/>
      <c r="M251" s="8"/>
      <c r="N251" s="8"/>
      <c r="O251" s="8"/>
    </row>
    <row r="252" spans="1:15" x14ac:dyDescent="0.25">
      <c r="A252" s="8"/>
      <c r="B252" s="27"/>
      <c r="C252" s="27"/>
      <c r="D252" s="27"/>
      <c r="E252" s="27"/>
      <c r="F252" s="8"/>
      <c r="G252" s="8"/>
      <c r="H252" s="8"/>
      <c r="I252" s="8"/>
      <c r="J252" s="8"/>
      <c r="K252" s="8"/>
      <c r="L252" s="8"/>
      <c r="M252" s="8"/>
      <c r="N252" s="8"/>
      <c r="O252" s="8"/>
    </row>
    <row r="253" spans="1:15" x14ac:dyDescent="0.25">
      <c r="A253" s="8"/>
      <c r="B253" s="27"/>
      <c r="C253" s="27"/>
      <c r="D253" s="27"/>
      <c r="E253" s="27"/>
      <c r="F253" s="8"/>
      <c r="G253" s="8"/>
      <c r="H253" s="8"/>
      <c r="I253" s="8"/>
      <c r="J253" s="8"/>
      <c r="K253" s="8"/>
      <c r="L253" s="8"/>
      <c r="M253" s="8"/>
      <c r="N253" s="8"/>
      <c r="O253" s="8"/>
    </row>
    <row r="254" spans="1:15" x14ac:dyDescent="0.25">
      <c r="A254" s="8"/>
      <c r="B254" s="27"/>
      <c r="C254" s="27"/>
      <c r="D254" s="27"/>
      <c r="E254" s="27"/>
      <c r="F254" s="8"/>
      <c r="G254" s="8"/>
      <c r="H254" s="8"/>
      <c r="I254" s="8"/>
      <c r="J254" s="8"/>
      <c r="K254" s="8"/>
      <c r="L254" s="8"/>
      <c r="M254" s="8"/>
      <c r="N254" s="8"/>
      <c r="O254" s="8"/>
    </row>
    <row r="255" spans="1:15" x14ac:dyDescent="0.25">
      <c r="A255" s="8"/>
      <c r="B255" s="27"/>
      <c r="C255" s="27"/>
      <c r="D255" s="27"/>
      <c r="E255" s="27"/>
      <c r="F255" s="8"/>
      <c r="G255" s="8"/>
      <c r="H255" s="8"/>
      <c r="I255" s="8"/>
      <c r="J255" s="8"/>
      <c r="K255" s="8"/>
      <c r="L255" s="8"/>
      <c r="M255" s="8"/>
      <c r="N255" s="8"/>
      <c r="O255" s="8"/>
    </row>
    <row r="256" spans="1:15" x14ac:dyDescent="0.25">
      <c r="A256" s="8"/>
      <c r="B256" s="27"/>
      <c r="C256" s="27"/>
      <c r="D256" s="27"/>
      <c r="E256" s="27"/>
      <c r="F256" s="8"/>
      <c r="G256" s="8"/>
      <c r="H256" s="8"/>
      <c r="I256" s="8"/>
      <c r="J256" s="8"/>
      <c r="K256" s="8"/>
      <c r="L256" s="8"/>
      <c r="M256" s="8"/>
      <c r="N256" s="8"/>
      <c r="O256" s="8"/>
    </row>
    <row r="257" spans="1:15" x14ac:dyDescent="0.25">
      <c r="A257" s="8"/>
      <c r="B257" s="27"/>
      <c r="C257" s="27"/>
      <c r="D257" s="27"/>
      <c r="E257" s="27"/>
      <c r="F257" s="8"/>
      <c r="G257" s="8"/>
      <c r="H257" s="8"/>
      <c r="I257" s="8"/>
      <c r="J257" s="8"/>
      <c r="K257" s="8"/>
      <c r="L257" s="8"/>
      <c r="M257" s="8"/>
      <c r="N257" s="8"/>
      <c r="O257" s="8"/>
    </row>
    <row r="258" spans="1:15" x14ac:dyDescent="0.25">
      <c r="A258" s="8"/>
      <c r="B258" s="27"/>
      <c r="C258" s="27"/>
      <c r="D258" s="27"/>
      <c r="E258" s="27"/>
      <c r="F258" s="8"/>
      <c r="G258" s="8"/>
      <c r="H258" s="8"/>
      <c r="I258" s="8"/>
      <c r="J258" s="8"/>
      <c r="K258" s="8"/>
      <c r="L258" s="8"/>
      <c r="M258" s="8"/>
      <c r="N258" s="8"/>
      <c r="O258" s="8"/>
    </row>
    <row r="259" spans="1:15" x14ac:dyDescent="0.25">
      <c r="A259" s="8"/>
      <c r="B259" s="27"/>
      <c r="C259" s="27"/>
      <c r="D259" s="27"/>
      <c r="E259" s="27"/>
      <c r="F259" s="8"/>
      <c r="G259" s="8"/>
      <c r="H259" s="8"/>
      <c r="I259" s="8"/>
      <c r="J259" s="8"/>
      <c r="K259" s="8"/>
      <c r="L259" s="8"/>
      <c r="M259" s="8"/>
      <c r="N259" s="8"/>
      <c r="O259" s="8"/>
    </row>
    <row r="260" spans="1:15" x14ac:dyDescent="0.25">
      <c r="A260" s="8"/>
      <c r="B260" s="27"/>
      <c r="C260" s="27"/>
      <c r="D260" s="27"/>
      <c r="E260" s="27"/>
      <c r="F260" s="8"/>
      <c r="G260" s="8"/>
      <c r="H260" s="8"/>
      <c r="I260" s="8"/>
      <c r="J260" s="8"/>
      <c r="K260" s="8"/>
      <c r="L260" s="8"/>
      <c r="M260" s="8"/>
      <c r="N260" s="8"/>
      <c r="O260" s="8"/>
    </row>
    <row r="261" spans="1:15" x14ac:dyDescent="0.25">
      <c r="A261" s="8"/>
      <c r="B261" s="27"/>
      <c r="C261" s="27"/>
      <c r="D261" s="27"/>
      <c r="E261" s="27"/>
      <c r="F261" s="8"/>
      <c r="G261" s="8"/>
      <c r="H261" s="8"/>
      <c r="I261" s="8"/>
      <c r="J261" s="8"/>
      <c r="K261" s="8"/>
      <c r="L261" s="8"/>
      <c r="M261" s="8"/>
      <c r="N261" s="8"/>
      <c r="O261" s="8"/>
    </row>
    <row r="262" spans="1:15" x14ac:dyDescent="0.25">
      <c r="A262" s="8"/>
      <c r="B262" s="27"/>
      <c r="C262" s="27"/>
      <c r="D262" s="27"/>
      <c r="E262" s="27"/>
      <c r="F262" s="8"/>
      <c r="G262" s="8"/>
      <c r="H262" s="8"/>
      <c r="I262" s="8"/>
      <c r="J262" s="8"/>
      <c r="K262" s="8"/>
      <c r="L262" s="8"/>
      <c r="M262" s="8"/>
      <c r="N262" s="8"/>
      <c r="O262" s="8"/>
    </row>
    <row r="263" spans="1:15" x14ac:dyDescent="0.25">
      <c r="A263" s="8"/>
      <c r="B263" s="27"/>
      <c r="C263" s="27"/>
      <c r="D263" s="27"/>
      <c r="E263" s="27"/>
      <c r="F263" s="8"/>
      <c r="G263" s="8"/>
      <c r="H263" s="8"/>
      <c r="I263" s="8"/>
      <c r="J263" s="8"/>
      <c r="K263" s="8"/>
      <c r="L263" s="8"/>
      <c r="M263" s="8"/>
      <c r="N263" s="8"/>
      <c r="O263" s="8"/>
    </row>
    <row r="264" spans="1:15" x14ac:dyDescent="0.25">
      <c r="A264" s="8"/>
      <c r="B264" s="27"/>
      <c r="C264" s="27"/>
      <c r="D264" s="27"/>
      <c r="E264" s="27"/>
      <c r="F264" s="8"/>
      <c r="G264" s="8"/>
      <c r="H264" s="8"/>
      <c r="I264" s="8"/>
      <c r="J264" s="8"/>
      <c r="K264" s="8"/>
      <c r="L264" s="8"/>
      <c r="M264" s="8"/>
      <c r="N264" s="8"/>
      <c r="O264" s="8"/>
    </row>
    <row r="265" spans="1:15" x14ac:dyDescent="0.25">
      <c r="A265" s="8"/>
      <c r="B265" s="27"/>
      <c r="C265" s="27"/>
      <c r="D265" s="27"/>
      <c r="E265" s="27"/>
      <c r="F265" s="8"/>
      <c r="G265" s="8"/>
      <c r="H265" s="8"/>
      <c r="I265" s="8"/>
      <c r="J265" s="8"/>
      <c r="K265" s="8"/>
      <c r="L265" s="8"/>
      <c r="M265" s="8"/>
      <c r="N265" s="8"/>
      <c r="O265" s="8"/>
    </row>
    <row r="266" spans="1:15" x14ac:dyDescent="0.25">
      <c r="A266" s="8"/>
      <c r="B266" s="27"/>
      <c r="C266" s="27"/>
      <c r="D266" s="27"/>
      <c r="E266" s="27"/>
      <c r="F266" s="8"/>
      <c r="G266" s="8"/>
      <c r="H266" s="8"/>
      <c r="I266" s="8"/>
      <c r="J266" s="8"/>
      <c r="K266" s="8"/>
      <c r="L266" s="8"/>
      <c r="M266" s="8"/>
      <c r="N266" s="8"/>
      <c r="O266" s="8"/>
    </row>
    <row r="267" spans="1:15" x14ac:dyDescent="0.25">
      <c r="A267" s="8"/>
      <c r="B267" s="27"/>
      <c r="C267" s="27"/>
      <c r="D267" s="27"/>
      <c r="E267" s="27"/>
      <c r="F267" s="8"/>
      <c r="G267" s="8"/>
      <c r="H267" s="8"/>
      <c r="I267" s="8"/>
      <c r="J267" s="8"/>
      <c r="K267" s="8"/>
      <c r="L267" s="8"/>
      <c r="M267" s="8"/>
      <c r="N267" s="8"/>
      <c r="O267" s="8"/>
    </row>
    <row r="268" spans="1:15" x14ac:dyDescent="0.25">
      <c r="A268" s="8"/>
      <c r="B268" s="27"/>
      <c r="C268" s="27"/>
      <c r="D268" s="27"/>
      <c r="E268" s="27"/>
      <c r="F268" s="8"/>
      <c r="G268" s="8"/>
      <c r="H268" s="8"/>
      <c r="I268" s="8"/>
      <c r="J268" s="8"/>
      <c r="K268" s="8"/>
      <c r="L268" s="8"/>
      <c r="M268" s="8"/>
      <c r="N268" s="8"/>
      <c r="O268" s="8"/>
    </row>
    <row r="269" spans="1:15" x14ac:dyDescent="0.25">
      <c r="A269" s="8"/>
      <c r="B269" s="27"/>
      <c r="C269" s="27"/>
      <c r="D269" s="27"/>
      <c r="E269" s="27"/>
      <c r="F269" s="8"/>
      <c r="G269" s="8"/>
      <c r="H269" s="8"/>
      <c r="I269" s="8"/>
      <c r="J269" s="8"/>
      <c r="K269" s="8"/>
      <c r="L269" s="8"/>
      <c r="M269" s="8"/>
      <c r="N269" s="8"/>
      <c r="O269" s="8"/>
    </row>
    <row r="270" spans="1:15" x14ac:dyDescent="0.25">
      <c r="A270" s="8"/>
      <c r="B270" s="27"/>
      <c r="C270" s="27"/>
      <c r="D270" s="27"/>
      <c r="E270" s="27"/>
      <c r="F270" s="8"/>
      <c r="G270" s="8"/>
      <c r="H270" s="8"/>
      <c r="I270" s="8"/>
      <c r="J270" s="8"/>
      <c r="K270" s="8"/>
      <c r="L270" s="8"/>
      <c r="M270" s="8"/>
      <c r="N270" s="8"/>
      <c r="O270" s="8"/>
    </row>
    <row r="271" spans="1:15" x14ac:dyDescent="0.25">
      <c r="A271" s="8"/>
      <c r="B271" s="27"/>
      <c r="C271" s="27"/>
      <c r="D271" s="27"/>
      <c r="E271" s="27"/>
      <c r="F271" s="8"/>
      <c r="G271" s="8"/>
      <c r="H271" s="8"/>
      <c r="I271" s="8"/>
      <c r="J271" s="8"/>
      <c r="K271" s="8"/>
      <c r="L271" s="8"/>
      <c r="M271" s="8"/>
      <c r="N271" s="8"/>
      <c r="O271" s="8"/>
    </row>
    <row r="272" spans="1:15" x14ac:dyDescent="0.25">
      <c r="A272" s="8"/>
      <c r="B272" s="27"/>
      <c r="C272" s="27"/>
      <c r="D272" s="27"/>
      <c r="E272" s="27"/>
      <c r="F272" s="8"/>
      <c r="G272" s="8"/>
      <c r="H272" s="8"/>
      <c r="I272" s="8"/>
      <c r="J272" s="8"/>
      <c r="K272" s="8"/>
      <c r="L272" s="8"/>
      <c r="M272" s="8"/>
      <c r="N272" s="8"/>
      <c r="O272" s="8"/>
    </row>
    <row r="273" spans="1:15" x14ac:dyDescent="0.25">
      <c r="A273" s="8"/>
      <c r="B273" s="27"/>
      <c r="C273" s="27"/>
      <c r="D273" s="27"/>
      <c r="E273" s="27"/>
      <c r="F273" s="8"/>
      <c r="G273" s="8"/>
      <c r="H273" s="8"/>
      <c r="I273" s="8"/>
      <c r="J273" s="8"/>
      <c r="K273" s="8"/>
      <c r="L273" s="8"/>
      <c r="M273" s="8"/>
      <c r="N273" s="8"/>
      <c r="O273" s="8"/>
    </row>
    <row r="274" spans="1:15" x14ac:dyDescent="0.25">
      <c r="A274" s="8"/>
      <c r="B274" s="27"/>
      <c r="C274" s="27"/>
      <c r="D274" s="27"/>
      <c r="E274" s="27"/>
      <c r="F274" s="8"/>
      <c r="G274" s="8"/>
      <c r="H274" s="8"/>
      <c r="I274" s="8"/>
      <c r="J274" s="8"/>
      <c r="K274" s="8"/>
      <c r="L274" s="8"/>
      <c r="M274" s="8"/>
      <c r="N274" s="8"/>
      <c r="O274" s="8"/>
    </row>
    <row r="275" spans="1:15" x14ac:dyDescent="0.25">
      <c r="A275" s="8"/>
      <c r="B275" s="27"/>
      <c r="C275" s="27"/>
      <c r="D275" s="27"/>
      <c r="E275" s="27"/>
      <c r="F275" s="8"/>
      <c r="G275" s="8"/>
      <c r="H275" s="8"/>
      <c r="I275" s="8"/>
      <c r="J275" s="8"/>
      <c r="K275" s="8"/>
      <c r="L275" s="8"/>
      <c r="M275" s="8"/>
      <c r="N275" s="8"/>
      <c r="O275" s="8"/>
    </row>
    <row r="276" spans="1:15" x14ac:dyDescent="0.25">
      <c r="A276" s="8"/>
      <c r="B276" s="27"/>
      <c r="C276" s="27"/>
      <c r="D276" s="27"/>
      <c r="E276" s="27"/>
      <c r="F276" s="8"/>
      <c r="G276" s="8"/>
      <c r="H276" s="8"/>
      <c r="I276" s="8"/>
      <c r="J276" s="8"/>
      <c r="K276" s="8"/>
      <c r="L276" s="8"/>
      <c r="M276" s="8"/>
      <c r="N276" s="8"/>
      <c r="O276" s="8"/>
    </row>
    <row r="277" spans="1:15" x14ac:dyDescent="0.25">
      <c r="A277" s="8"/>
      <c r="B277" s="27"/>
      <c r="C277" s="27"/>
      <c r="D277" s="27"/>
      <c r="E277" s="27"/>
      <c r="F277" s="8"/>
      <c r="G277" s="8"/>
      <c r="H277" s="8"/>
      <c r="I277" s="8"/>
      <c r="J277" s="8"/>
      <c r="K277" s="8"/>
      <c r="L277" s="8"/>
      <c r="M277" s="8"/>
      <c r="N277" s="8"/>
      <c r="O277" s="8"/>
    </row>
    <row r="278" spans="1:15" x14ac:dyDescent="0.25">
      <c r="A278" s="8"/>
      <c r="B278" s="27"/>
      <c r="C278" s="27"/>
      <c r="D278" s="27"/>
      <c r="E278" s="27"/>
      <c r="F278" s="8"/>
      <c r="G278" s="8"/>
      <c r="H278" s="8"/>
      <c r="I278" s="8"/>
      <c r="J278" s="8"/>
      <c r="K278" s="8"/>
      <c r="L278" s="8"/>
      <c r="M278" s="8"/>
      <c r="N278" s="8"/>
      <c r="O278" s="8"/>
    </row>
    <row r="279" spans="1:15" x14ac:dyDescent="0.25">
      <c r="A279" s="8"/>
      <c r="B279" s="27"/>
      <c r="C279" s="27"/>
      <c r="D279" s="27"/>
      <c r="E279" s="27"/>
      <c r="F279" s="8"/>
      <c r="G279" s="8"/>
      <c r="H279" s="8"/>
      <c r="I279" s="8"/>
      <c r="J279" s="8"/>
      <c r="K279" s="8"/>
      <c r="L279" s="8"/>
      <c r="M279" s="8"/>
      <c r="N279" s="8"/>
      <c r="O279" s="8"/>
    </row>
    <row r="280" spans="1:15" x14ac:dyDescent="0.25">
      <c r="A280" s="8"/>
      <c r="B280" s="27"/>
      <c r="C280" s="27"/>
      <c r="D280" s="27"/>
      <c r="E280" s="27"/>
      <c r="F280" s="8"/>
      <c r="G280" s="8"/>
      <c r="H280" s="8"/>
      <c r="I280" s="8"/>
      <c r="J280" s="8"/>
      <c r="K280" s="8"/>
      <c r="L280" s="8"/>
      <c r="M280" s="8"/>
      <c r="N280" s="8"/>
      <c r="O280" s="8"/>
    </row>
    <row r="281" spans="1:15" x14ac:dyDescent="0.25">
      <c r="A281" s="8"/>
      <c r="B281" s="27"/>
      <c r="C281" s="27"/>
      <c r="D281" s="27"/>
      <c r="E281" s="27"/>
      <c r="F281" s="8"/>
      <c r="G281" s="8"/>
      <c r="H281" s="8"/>
      <c r="I281" s="8"/>
      <c r="J281" s="8"/>
      <c r="K281" s="8"/>
      <c r="L281" s="8"/>
      <c r="M281" s="8"/>
      <c r="N281" s="8"/>
      <c r="O281" s="8"/>
    </row>
    <row r="282" spans="1:15" x14ac:dyDescent="0.25">
      <c r="A282" s="8"/>
      <c r="B282" s="27"/>
      <c r="C282" s="27"/>
      <c r="D282" s="27"/>
      <c r="E282" s="27"/>
      <c r="F282" s="8"/>
      <c r="G282" s="8"/>
      <c r="H282" s="8"/>
      <c r="I282" s="8"/>
      <c r="J282" s="8"/>
      <c r="K282" s="8"/>
      <c r="L282" s="8"/>
      <c r="M282" s="8"/>
      <c r="N282" s="8"/>
      <c r="O282" s="8"/>
    </row>
    <row r="283" spans="1:15" x14ac:dyDescent="0.25">
      <c r="A283" s="8"/>
      <c r="B283" s="27"/>
      <c r="C283" s="27"/>
      <c r="D283" s="27"/>
      <c r="E283" s="27"/>
      <c r="F283" s="8"/>
      <c r="G283" s="8"/>
      <c r="H283" s="8"/>
      <c r="I283" s="8"/>
      <c r="J283" s="8"/>
      <c r="K283" s="8"/>
      <c r="L283" s="8"/>
      <c r="M283" s="8"/>
      <c r="N283" s="8"/>
      <c r="O283" s="8"/>
    </row>
    <row r="284" spans="1:15" x14ac:dyDescent="0.25">
      <c r="A284" s="8"/>
      <c r="B284" s="27"/>
      <c r="C284" s="27"/>
      <c r="D284" s="27"/>
      <c r="E284" s="27"/>
      <c r="F284" s="8"/>
      <c r="G284" s="8"/>
      <c r="H284" s="8"/>
      <c r="I284" s="8"/>
      <c r="J284" s="8"/>
      <c r="K284" s="8"/>
      <c r="L284" s="8"/>
      <c r="M284" s="8"/>
      <c r="N284" s="8"/>
      <c r="O284" s="8"/>
    </row>
    <row r="285" spans="1:15" x14ac:dyDescent="0.25">
      <c r="A285" s="8"/>
      <c r="B285" s="27"/>
      <c r="C285" s="27"/>
      <c r="D285" s="27"/>
      <c r="E285" s="27"/>
      <c r="F285" s="8"/>
      <c r="G285" s="8"/>
      <c r="H285" s="8"/>
      <c r="I285" s="8"/>
      <c r="J285" s="8"/>
      <c r="K285" s="8"/>
      <c r="L285" s="8"/>
      <c r="M285" s="8"/>
      <c r="N285" s="8"/>
      <c r="O285" s="8"/>
    </row>
    <row r="286" spans="1:15" x14ac:dyDescent="0.25">
      <c r="A286" s="8"/>
      <c r="B286" s="27"/>
      <c r="C286" s="27"/>
      <c r="D286" s="27"/>
      <c r="E286" s="27"/>
      <c r="F286" s="8"/>
      <c r="G286" s="8"/>
      <c r="H286" s="8"/>
      <c r="I286" s="8"/>
      <c r="J286" s="8"/>
      <c r="K286" s="8"/>
      <c r="L286" s="8"/>
      <c r="M286" s="8"/>
      <c r="N286" s="8"/>
      <c r="O286" s="8"/>
    </row>
    <row r="287" spans="1:15" x14ac:dyDescent="0.25">
      <c r="A287" s="8"/>
      <c r="B287" s="27"/>
      <c r="C287" s="27"/>
      <c r="D287" s="27"/>
      <c r="E287" s="27"/>
      <c r="F287" s="8"/>
      <c r="G287" s="8"/>
      <c r="H287" s="8"/>
      <c r="I287" s="8"/>
      <c r="J287" s="8"/>
      <c r="K287" s="8"/>
      <c r="L287" s="8"/>
      <c r="M287" s="8"/>
      <c r="N287" s="8"/>
      <c r="O287" s="8"/>
    </row>
    <row r="288" spans="1:15" x14ac:dyDescent="0.25">
      <c r="A288" s="8"/>
      <c r="B288" s="27"/>
      <c r="C288" s="27"/>
      <c r="D288" s="27"/>
      <c r="E288" s="27"/>
      <c r="F288" s="8"/>
      <c r="G288" s="8"/>
      <c r="H288" s="8"/>
      <c r="I288" s="8"/>
      <c r="J288" s="8"/>
      <c r="K288" s="8"/>
      <c r="L288" s="8"/>
      <c r="M288" s="8"/>
      <c r="N288" s="8"/>
      <c r="O288" s="8"/>
    </row>
    <row r="289" spans="1:15" x14ac:dyDescent="0.25">
      <c r="A289" s="8"/>
      <c r="B289" s="27"/>
      <c r="C289" s="27"/>
      <c r="D289" s="27"/>
      <c r="E289" s="27"/>
      <c r="F289" s="8"/>
      <c r="G289" s="8"/>
      <c r="H289" s="8"/>
      <c r="I289" s="8"/>
      <c r="J289" s="8"/>
      <c r="K289" s="8"/>
      <c r="L289" s="8"/>
      <c r="M289" s="8"/>
      <c r="N289" s="8"/>
      <c r="O289" s="8"/>
    </row>
    <row r="290" spans="1:15" x14ac:dyDescent="0.25">
      <c r="A290" s="8"/>
      <c r="B290" s="27"/>
      <c r="C290" s="27"/>
      <c r="D290" s="27"/>
      <c r="E290" s="27"/>
      <c r="F290" s="8"/>
      <c r="G290" s="8"/>
      <c r="H290" s="8"/>
      <c r="I290" s="8"/>
      <c r="J290" s="8"/>
      <c r="K290" s="8"/>
      <c r="L290" s="8"/>
      <c r="M290" s="8"/>
      <c r="N290" s="8"/>
      <c r="O290" s="8"/>
    </row>
    <row r="291" spans="1:15" x14ac:dyDescent="0.25">
      <c r="A291" s="8"/>
      <c r="B291" s="27"/>
      <c r="C291" s="27"/>
      <c r="D291" s="27"/>
      <c r="E291" s="27"/>
      <c r="F291" s="8"/>
      <c r="G291" s="8"/>
      <c r="H291" s="8"/>
      <c r="I291" s="8"/>
      <c r="J291" s="8"/>
      <c r="K291" s="8"/>
      <c r="L291" s="8"/>
      <c r="M291" s="8"/>
      <c r="N291" s="8"/>
      <c r="O291" s="8"/>
    </row>
    <row r="292" spans="1:15" x14ac:dyDescent="0.25">
      <c r="A292" s="8"/>
      <c r="B292" s="27"/>
      <c r="C292" s="27"/>
      <c r="D292" s="27"/>
      <c r="E292" s="27"/>
      <c r="F292" s="8"/>
      <c r="G292" s="8"/>
      <c r="H292" s="8"/>
      <c r="I292" s="8"/>
      <c r="J292" s="8"/>
      <c r="K292" s="8"/>
      <c r="L292" s="8"/>
      <c r="M292" s="8"/>
      <c r="N292" s="8"/>
      <c r="O292" s="8"/>
    </row>
    <row r="293" spans="1:15" x14ac:dyDescent="0.25">
      <c r="A293" s="8"/>
      <c r="B293" s="27"/>
      <c r="C293" s="27"/>
      <c r="D293" s="27"/>
      <c r="E293" s="27"/>
      <c r="F293" s="8"/>
      <c r="G293" s="8"/>
      <c r="H293" s="8"/>
      <c r="I293" s="8"/>
      <c r="J293" s="8"/>
      <c r="K293" s="8"/>
      <c r="L293" s="8"/>
      <c r="M293" s="8"/>
      <c r="N293" s="8"/>
      <c r="O293" s="8"/>
    </row>
    <row r="294" spans="1:15" x14ac:dyDescent="0.25">
      <c r="A294" s="8"/>
      <c r="B294" s="27"/>
      <c r="C294" s="27"/>
      <c r="D294" s="27"/>
      <c r="E294" s="27"/>
      <c r="F294" s="8"/>
      <c r="G294" s="8"/>
      <c r="H294" s="8"/>
      <c r="I294" s="8"/>
      <c r="J294" s="8"/>
      <c r="K294" s="8"/>
      <c r="L294" s="8"/>
      <c r="M294" s="8"/>
      <c r="N294" s="8"/>
      <c r="O294" s="8"/>
    </row>
    <row r="295" spans="1:15" x14ac:dyDescent="0.25">
      <c r="A295" s="8"/>
      <c r="B295" s="27"/>
      <c r="C295" s="27"/>
      <c r="D295" s="27"/>
      <c r="E295" s="27"/>
      <c r="F295" s="8"/>
      <c r="G295" s="8"/>
      <c r="H295" s="8"/>
      <c r="I295" s="8"/>
      <c r="J295" s="8"/>
      <c r="K295" s="8"/>
      <c r="L295" s="8"/>
      <c r="M295" s="8"/>
      <c r="N295" s="8"/>
      <c r="O295" s="8"/>
    </row>
    <row r="296" spans="1:15" x14ac:dyDescent="0.25">
      <c r="A296" s="8"/>
      <c r="B296" s="27"/>
      <c r="C296" s="27"/>
      <c r="D296" s="27"/>
      <c r="E296" s="27"/>
      <c r="F296" s="8"/>
      <c r="G296" s="8"/>
      <c r="H296" s="8"/>
      <c r="I296" s="8"/>
      <c r="J296" s="8"/>
      <c r="K296" s="8"/>
      <c r="L296" s="8"/>
      <c r="M296" s="8"/>
      <c r="N296" s="8"/>
      <c r="O296" s="8"/>
    </row>
    <row r="297" spans="1:15" x14ac:dyDescent="0.25">
      <c r="A297" s="8"/>
      <c r="B297" s="27"/>
      <c r="C297" s="27"/>
      <c r="D297" s="27"/>
      <c r="E297" s="27"/>
      <c r="F297" s="8"/>
      <c r="G297" s="8"/>
      <c r="H297" s="8"/>
      <c r="I297" s="8"/>
      <c r="J297" s="8"/>
      <c r="K297" s="8"/>
      <c r="L297" s="8"/>
      <c r="M297" s="8"/>
      <c r="N297" s="8"/>
      <c r="O297" s="8"/>
    </row>
    <row r="298" spans="1:15" x14ac:dyDescent="0.25">
      <c r="A298" s="8"/>
      <c r="B298" s="27"/>
      <c r="C298" s="27"/>
      <c r="D298" s="27"/>
      <c r="E298" s="27"/>
      <c r="F298" s="8"/>
      <c r="G298" s="8"/>
      <c r="H298" s="8"/>
      <c r="I298" s="8"/>
      <c r="J298" s="8"/>
      <c r="K298" s="8"/>
      <c r="L298" s="8"/>
      <c r="M298" s="8"/>
      <c r="N298" s="8"/>
      <c r="O298" s="8"/>
    </row>
    <row r="299" spans="1:15" x14ac:dyDescent="0.25">
      <c r="A299" s="8"/>
      <c r="B299" s="27"/>
      <c r="C299" s="27"/>
      <c r="D299" s="27"/>
      <c r="E299" s="27"/>
      <c r="F299" s="8"/>
      <c r="G299" s="8"/>
      <c r="H299" s="8"/>
      <c r="I299" s="8"/>
      <c r="J299" s="8"/>
      <c r="K299" s="8"/>
      <c r="L299" s="8"/>
      <c r="M299" s="8"/>
      <c r="N299" s="8"/>
      <c r="O299" s="8"/>
    </row>
    <row r="300" spans="1:15" x14ac:dyDescent="0.25">
      <c r="A300" s="8"/>
      <c r="B300" s="27"/>
      <c r="C300" s="27"/>
      <c r="D300" s="27"/>
      <c r="E300" s="27"/>
      <c r="F300" s="8"/>
      <c r="G300" s="8"/>
      <c r="H300" s="8"/>
      <c r="I300" s="8"/>
      <c r="J300" s="8"/>
      <c r="K300" s="8"/>
      <c r="L300" s="8"/>
      <c r="M300" s="8"/>
      <c r="N300" s="8"/>
      <c r="O300" s="8"/>
    </row>
    <row r="301" spans="1:15" x14ac:dyDescent="0.25">
      <c r="A301" s="8"/>
      <c r="B301" s="27"/>
      <c r="C301" s="27"/>
      <c r="D301" s="27"/>
      <c r="E301" s="27"/>
      <c r="F301" s="8"/>
      <c r="G301" s="8"/>
      <c r="H301" s="8"/>
      <c r="I301" s="8"/>
      <c r="J301" s="8"/>
      <c r="K301" s="8"/>
      <c r="L301" s="8"/>
      <c r="M301" s="8"/>
      <c r="N301" s="8"/>
      <c r="O301" s="8"/>
    </row>
    <row r="302" spans="1:15" x14ac:dyDescent="0.25">
      <c r="A302" s="8"/>
      <c r="B302" s="27"/>
      <c r="C302" s="27"/>
      <c r="D302" s="27"/>
      <c r="E302" s="27"/>
      <c r="F302" s="8"/>
      <c r="G302" s="8"/>
      <c r="H302" s="8"/>
      <c r="I302" s="8"/>
      <c r="J302" s="8"/>
      <c r="K302" s="8"/>
      <c r="L302" s="8"/>
      <c r="M302" s="8"/>
      <c r="N302" s="8"/>
      <c r="O302" s="8"/>
    </row>
    <row r="303" spans="1:15" x14ac:dyDescent="0.25">
      <c r="A303" s="8"/>
      <c r="B303" s="27"/>
      <c r="C303" s="27"/>
      <c r="D303" s="27"/>
      <c r="E303" s="27"/>
      <c r="F303" s="8"/>
      <c r="G303" s="8"/>
      <c r="H303" s="8"/>
      <c r="I303" s="8"/>
      <c r="J303" s="8"/>
      <c r="K303" s="8"/>
      <c r="L303" s="8"/>
      <c r="M303" s="8"/>
      <c r="N303" s="8"/>
      <c r="O303" s="8"/>
    </row>
    <row r="304" spans="1:15" x14ac:dyDescent="0.25">
      <c r="A304" s="8"/>
      <c r="B304" s="27"/>
      <c r="C304" s="27"/>
      <c r="D304" s="27"/>
      <c r="E304" s="27"/>
      <c r="F304" s="8"/>
      <c r="G304" s="8"/>
      <c r="H304" s="8"/>
      <c r="I304" s="8"/>
      <c r="J304" s="8"/>
      <c r="K304" s="8"/>
      <c r="L304" s="8"/>
      <c r="M304" s="8"/>
      <c r="N304" s="8"/>
      <c r="O304" s="8"/>
    </row>
    <row r="305" spans="1:15" x14ac:dyDescent="0.25">
      <c r="A305" s="8"/>
      <c r="B305" s="27"/>
      <c r="C305" s="27"/>
      <c r="D305" s="27"/>
      <c r="E305" s="27"/>
      <c r="F305" s="8"/>
      <c r="G305" s="8"/>
      <c r="H305" s="8"/>
      <c r="I305" s="8"/>
      <c r="J305" s="8"/>
      <c r="K305" s="8"/>
      <c r="L305" s="8"/>
      <c r="M305" s="8"/>
      <c r="N305" s="8"/>
      <c r="O305" s="8"/>
    </row>
    <row r="306" spans="1:15" x14ac:dyDescent="0.25">
      <c r="A306" s="8"/>
      <c r="B306" s="27"/>
      <c r="C306" s="27"/>
      <c r="D306" s="27"/>
      <c r="E306" s="27"/>
      <c r="F306" s="8"/>
      <c r="G306" s="8"/>
      <c r="H306" s="8"/>
      <c r="I306" s="8"/>
      <c r="J306" s="8"/>
      <c r="K306" s="8"/>
      <c r="L306" s="8"/>
      <c r="M306" s="8"/>
      <c r="N306" s="8"/>
      <c r="O306" s="8"/>
    </row>
    <row r="307" spans="1:15" x14ac:dyDescent="0.25">
      <c r="A307" s="8"/>
      <c r="B307" s="27"/>
      <c r="C307" s="27"/>
      <c r="D307" s="27"/>
      <c r="E307" s="27"/>
      <c r="F307" s="8"/>
      <c r="G307" s="8"/>
      <c r="H307" s="8"/>
      <c r="I307" s="8"/>
      <c r="J307" s="8"/>
      <c r="K307" s="8"/>
      <c r="L307" s="8"/>
      <c r="M307" s="8"/>
      <c r="N307" s="8"/>
      <c r="O307" s="8"/>
    </row>
    <row r="308" spans="1:15" x14ac:dyDescent="0.25">
      <c r="A308" s="8"/>
      <c r="B308" s="27"/>
      <c r="C308" s="27"/>
      <c r="D308" s="27"/>
      <c r="E308" s="27"/>
      <c r="F308" s="8"/>
      <c r="G308" s="8"/>
      <c r="H308" s="8"/>
      <c r="I308" s="8"/>
      <c r="J308" s="8"/>
      <c r="K308" s="8"/>
      <c r="L308" s="8"/>
      <c r="M308" s="8"/>
      <c r="N308" s="8"/>
      <c r="O308" s="8"/>
    </row>
    <row r="309" spans="1:15" x14ac:dyDescent="0.25">
      <c r="A309" s="8"/>
      <c r="B309" s="27"/>
      <c r="C309" s="27"/>
      <c r="D309" s="27"/>
      <c r="E309" s="27"/>
      <c r="F309" s="8"/>
      <c r="G309" s="8"/>
      <c r="H309" s="8"/>
      <c r="I309" s="8"/>
      <c r="J309" s="8"/>
      <c r="K309" s="8"/>
      <c r="L309" s="8"/>
      <c r="M309" s="8"/>
      <c r="N309" s="8"/>
      <c r="O309" s="8"/>
    </row>
    <row r="310" spans="1:15" x14ac:dyDescent="0.25">
      <c r="A310" s="8"/>
      <c r="B310" s="27"/>
      <c r="C310" s="27"/>
      <c r="D310" s="27"/>
      <c r="E310" s="27"/>
      <c r="F310" s="8"/>
      <c r="G310" s="8"/>
      <c r="H310" s="8"/>
      <c r="I310" s="8"/>
      <c r="J310" s="8"/>
      <c r="K310" s="8"/>
      <c r="L310" s="8"/>
      <c r="M310" s="8"/>
      <c r="N310" s="8"/>
      <c r="O310" s="8"/>
    </row>
    <row r="311" spans="1:15" x14ac:dyDescent="0.25">
      <c r="A311" s="8"/>
      <c r="B311" s="27"/>
      <c r="C311" s="27"/>
      <c r="D311" s="27"/>
      <c r="E311" s="27"/>
      <c r="F311" s="8"/>
      <c r="G311" s="8"/>
      <c r="H311" s="8"/>
      <c r="I311" s="8"/>
      <c r="J311" s="8"/>
      <c r="K311" s="8"/>
      <c r="L311" s="8"/>
      <c r="M311" s="8"/>
      <c r="N311" s="8"/>
      <c r="O311" s="8"/>
    </row>
    <row r="312" spans="1:15" x14ac:dyDescent="0.25">
      <c r="A312" s="8"/>
      <c r="B312" s="27"/>
      <c r="C312" s="27"/>
      <c r="D312" s="27"/>
      <c r="E312" s="27"/>
      <c r="F312" s="8"/>
      <c r="G312" s="8"/>
      <c r="H312" s="8"/>
      <c r="I312" s="8"/>
      <c r="J312" s="8"/>
      <c r="K312" s="8"/>
      <c r="L312" s="8"/>
      <c r="M312" s="8"/>
      <c r="N312" s="8"/>
      <c r="O312" s="8"/>
    </row>
    <row r="313" spans="1:15" x14ac:dyDescent="0.25">
      <c r="A313" s="8"/>
      <c r="B313" s="27"/>
      <c r="C313" s="27"/>
      <c r="D313" s="27"/>
      <c r="E313" s="27"/>
      <c r="F313" s="8"/>
      <c r="G313" s="8"/>
      <c r="H313" s="8"/>
      <c r="I313" s="8"/>
      <c r="J313" s="8"/>
      <c r="K313" s="8"/>
      <c r="L313" s="8"/>
      <c r="M313" s="8"/>
      <c r="N313" s="8"/>
      <c r="O313" s="8"/>
    </row>
    <row r="314" spans="1:15" x14ac:dyDescent="0.25">
      <c r="A314" s="8"/>
      <c r="B314" s="27"/>
      <c r="C314" s="27"/>
      <c r="D314" s="27"/>
      <c r="E314" s="27"/>
      <c r="F314" s="8"/>
      <c r="G314" s="8"/>
      <c r="H314" s="8"/>
      <c r="I314" s="8"/>
      <c r="J314" s="8"/>
      <c r="K314" s="8"/>
      <c r="L314" s="8"/>
      <c r="M314" s="8"/>
      <c r="N314" s="8"/>
      <c r="O314" s="8"/>
    </row>
    <row r="315" spans="1:15" x14ac:dyDescent="0.25">
      <c r="A315" s="8"/>
      <c r="B315" s="27"/>
      <c r="C315" s="27"/>
      <c r="D315" s="27"/>
      <c r="E315" s="27"/>
      <c r="F315" s="8"/>
      <c r="G315" s="8"/>
      <c r="H315" s="8"/>
      <c r="I315" s="8"/>
      <c r="J315" s="8"/>
      <c r="K315" s="8"/>
      <c r="L315" s="8"/>
      <c r="M315" s="8"/>
      <c r="N315" s="8"/>
      <c r="O315" s="8"/>
    </row>
    <row r="316" spans="1:15" x14ac:dyDescent="0.25">
      <c r="A316" s="8"/>
      <c r="B316" s="27"/>
      <c r="C316" s="27"/>
      <c r="D316" s="27"/>
      <c r="E316" s="27"/>
      <c r="F316" s="8"/>
      <c r="G316" s="8"/>
      <c r="H316" s="8"/>
      <c r="I316" s="8"/>
      <c r="J316" s="8"/>
      <c r="K316" s="8"/>
      <c r="L316" s="8"/>
      <c r="M316" s="8"/>
      <c r="N316" s="8"/>
      <c r="O316" s="8"/>
    </row>
    <row r="317" spans="1:15" x14ac:dyDescent="0.25">
      <c r="A317" s="8"/>
      <c r="B317" s="27"/>
      <c r="C317" s="27"/>
      <c r="D317" s="27"/>
      <c r="E317" s="27"/>
      <c r="F317" s="8"/>
      <c r="G317" s="8"/>
      <c r="H317" s="8"/>
      <c r="I317" s="8"/>
      <c r="J317" s="8"/>
      <c r="K317" s="8"/>
      <c r="L317" s="8"/>
      <c r="M317" s="8"/>
      <c r="N317" s="8"/>
      <c r="O317" s="8"/>
    </row>
    <row r="318" spans="1:15" x14ac:dyDescent="0.25">
      <c r="A318" s="8"/>
      <c r="B318" s="27"/>
      <c r="C318" s="27"/>
      <c r="D318" s="27"/>
      <c r="E318" s="27"/>
      <c r="F318" s="8"/>
      <c r="G318" s="8"/>
      <c r="H318" s="8"/>
      <c r="I318" s="8"/>
      <c r="J318" s="8"/>
      <c r="K318" s="8"/>
      <c r="L318" s="8"/>
      <c r="M318" s="8"/>
      <c r="N318" s="8"/>
      <c r="O318" s="8"/>
    </row>
    <row r="319" spans="1:15" x14ac:dyDescent="0.25">
      <c r="A319" s="8"/>
      <c r="B319" s="27"/>
      <c r="C319" s="27"/>
      <c r="D319" s="27"/>
      <c r="E319" s="27"/>
      <c r="F319" s="8"/>
      <c r="G319" s="8"/>
      <c r="H319" s="8"/>
      <c r="I319" s="8"/>
      <c r="J319" s="8"/>
      <c r="K319" s="8"/>
      <c r="L319" s="8"/>
      <c r="M319" s="8"/>
      <c r="N319" s="8"/>
      <c r="O319" s="8"/>
    </row>
    <row r="320" spans="1:15" x14ac:dyDescent="0.25">
      <c r="A320" s="8"/>
      <c r="B320" s="27"/>
      <c r="C320" s="27"/>
      <c r="D320" s="27"/>
      <c r="E320" s="27"/>
      <c r="F320" s="8"/>
      <c r="G320" s="8"/>
      <c r="H320" s="8"/>
      <c r="I320" s="8"/>
      <c r="J320" s="8"/>
      <c r="K320" s="8"/>
      <c r="L320" s="8"/>
      <c r="M320" s="8"/>
      <c r="N320" s="8"/>
      <c r="O320" s="8"/>
    </row>
    <row r="321" spans="1:15" x14ac:dyDescent="0.25">
      <c r="A321" s="8"/>
      <c r="B321" s="27"/>
      <c r="C321" s="27"/>
      <c r="D321" s="27"/>
      <c r="E321" s="27"/>
      <c r="F321" s="8"/>
      <c r="G321" s="8"/>
      <c r="H321" s="8"/>
      <c r="I321" s="8"/>
      <c r="J321" s="8"/>
      <c r="K321" s="8"/>
      <c r="L321" s="8"/>
      <c r="M321" s="8"/>
      <c r="N321" s="8"/>
      <c r="O321" s="8"/>
    </row>
    <row r="322" spans="1:15" x14ac:dyDescent="0.25">
      <c r="A322" s="8"/>
      <c r="B322" s="27"/>
      <c r="C322" s="27"/>
      <c r="D322" s="27"/>
      <c r="E322" s="27"/>
      <c r="F322" s="8"/>
      <c r="G322" s="8"/>
      <c r="H322" s="8"/>
      <c r="I322" s="8"/>
      <c r="J322" s="8"/>
      <c r="K322" s="8"/>
      <c r="L322" s="8"/>
      <c r="M322" s="8"/>
      <c r="N322" s="8"/>
      <c r="O322" s="8"/>
    </row>
    <row r="323" spans="1:15" x14ac:dyDescent="0.25">
      <c r="A323" s="8"/>
      <c r="B323" s="27"/>
      <c r="C323" s="27"/>
      <c r="D323" s="27"/>
      <c r="E323" s="27"/>
      <c r="F323" s="8"/>
      <c r="G323" s="8"/>
      <c r="H323" s="8"/>
      <c r="I323" s="8"/>
      <c r="J323" s="8"/>
      <c r="K323" s="8"/>
      <c r="L323" s="8"/>
      <c r="M323" s="8"/>
      <c r="N323" s="8"/>
      <c r="O323" s="8"/>
    </row>
    <row r="324" spans="1:15" x14ac:dyDescent="0.25">
      <c r="A324" s="8"/>
      <c r="B324" s="27"/>
      <c r="C324" s="27"/>
      <c r="D324" s="27"/>
      <c r="E324" s="27"/>
      <c r="F324" s="8"/>
      <c r="G324" s="8"/>
      <c r="H324" s="8"/>
      <c r="I324" s="8"/>
      <c r="J324" s="8"/>
      <c r="K324" s="8"/>
      <c r="L324" s="8"/>
      <c r="M324" s="8"/>
      <c r="N324" s="8"/>
      <c r="O324" s="8"/>
    </row>
    <row r="325" spans="1:15" x14ac:dyDescent="0.25">
      <c r="A325" s="8"/>
      <c r="B325" s="27"/>
      <c r="C325" s="27"/>
      <c r="D325" s="27"/>
      <c r="E325" s="27"/>
      <c r="F325" s="8"/>
      <c r="G325" s="8"/>
      <c r="H325" s="8"/>
      <c r="I325" s="8"/>
      <c r="J325" s="8"/>
      <c r="K325" s="8"/>
      <c r="L325" s="8"/>
      <c r="M325" s="8"/>
      <c r="N325" s="8"/>
      <c r="O325" s="8"/>
    </row>
    <row r="326" spans="1:15" x14ac:dyDescent="0.25">
      <c r="A326" s="8"/>
      <c r="B326" s="27"/>
      <c r="C326" s="27"/>
      <c r="D326" s="27"/>
      <c r="E326" s="27"/>
      <c r="F326" s="8"/>
      <c r="G326" s="8"/>
      <c r="H326" s="8"/>
      <c r="I326" s="8"/>
      <c r="J326" s="8"/>
      <c r="K326" s="8"/>
      <c r="L326" s="8"/>
      <c r="M326" s="8"/>
      <c r="N326" s="8"/>
      <c r="O326" s="8"/>
    </row>
    <row r="327" spans="1:15" x14ac:dyDescent="0.25">
      <c r="A327" s="8"/>
      <c r="B327" s="27"/>
      <c r="C327" s="27"/>
      <c r="D327" s="27"/>
      <c r="E327" s="27"/>
      <c r="F327" s="8"/>
      <c r="G327" s="8"/>
      <c r="H327" s="8"/>
      <c r="I327" s="8"/>
      <c r="J327" s="8"/>
      <c r="K327" s="8"/>
      <c r="L327" s="8"/>
      <c r="M327" s="8"/>
      <c r="N327" s="8"/>
      <c r="O327" s="8"/>
    </row>
    <row r="328" spans="1:15" x14ac:dyDescent="0.25">
      <c r="A328" s="8"/>
      <c r="B328" s="27"/>
      <c r="C328" s="27"/>
      <c r="D328" s="27"/>
      <c r="E328" s="27"/>
      <c r="F328" s="8"/>
      <c r="G328" s="8"/>
      <c r="H328" s="8"/>
      <c r="I328" s="8"/>
      <c r="J328" s="8"/>
      <c r="K328" s="8"/>
      <c r="L328" s="8"/>
      <c r="M328" s="8"/>
      <c r="N328" s="8"/>
      <c r="O328" s="8"/>
    </row>
    <row r="329" spans="1:15" x14ac:dyDescent="0.25">
      <c r="A329" s="8"/>
      <c r="B329" s="27"/>
      <c r="C329" s="27"/>
      <c r="D329" s="27"/>
      <c r="E329" s="27"/>
      <c r="F329" s="8"/>
      <c r="G329" s="8"/>
      <c r="H329" s="8"/>
      <c r="I329" s="8"/>
      <c r="J329" s="8"/>
      <c r="K329" s="8"/>
      <c r="L329" s="8"/>
      <c r="M329" s="8"/>
      <c r="N329" s="8"/>
      <c r="O329" s="8"/>
    </row>
    <row r="330" spans="1:15" x14ac:dyDescent="0.25">
      <c r="A330" s="8"/>
      <c r="B330" s="27"/>
      <c r="C330" s="27"/>
      <c r="D330" s="27"/>
      <c r="E330" s="27"/>
      <c r="F330" s="8"/>
      <c r="G330" s="8"/>
      <c r="H330" s="8"/>
      <c r="I330" s="8"/>
      <c r="J330" s="8"/>
      <c r="K330" s="8"/>
      <c r="L330" s="8"/>
      <c r="M330" s="8"/>
      <c r="N330" s="8"/>
      <c r="O330" s="8"/>
    </row>
    <row r="331" spans="1:15" x14ac:dyDescent="0.25">
      <c r="A331" s="8"/>
      <c r="B331" s="27"/>
      <c r="C331" s="27"/>
      <c r="D331" s="27"/>
      <c r="E331" s="27"/>
      <c r="F331" s="8"/>
      <c r="G331" s="8"/>
      <c r="H331" s="8"/>
      <c r="I331" s="8"/>
      <c r="J331" s="8"/>
      <c r="K331" s="8"/>
      <c r="L331" s="8"/>
      <c r="M331" s="8"/>
      <c r="N331" s="8"/>
      <c r="O331" s="8"/>
    </row>
    <row r="332" spans="1:15" x14ac:dyDescent="0.25">
      <c r="A332" s="8"/>
      <c r="B332" s="27"/>
      <c r="C332" s="27"/>
      <c r="D332" s="27"/>
      <c r="E332" s="27"/>
      <c r="F332" s="8"/>
      <c r="G332" s="8"/>
      <c r="H332" s="8"/>
      <c r="I332" s="8"/>
      <c r="J332" s="8"/>
      <c r="K332" s="8"/>
      <c r="L332" s="8"/>
      <c r="M332" s="8"/>
      <c r="N332" s="8"/>
      <c r="O332" s="8"/>
    </row>
    <row r="333" spans="1:15" x14ac:dyDescent="0.25">
      <c r="A333" s="8"/>
      <c r="B333" s="27"/>
      <c r="C333" s="27"/>
      <c r="D333" s="27"/>
      <c r="E333" s="27"/>
      <c r="F333" s="8"/>
      <c r="G333" s="8"/>
      <c r="H333" s="8"/>
      <c r="I333" s="8"/>
      <c r="J333" s="8"/>
      <c r="K333" s="8"/>
      <c r="L333" s="8"/>
      <c r="M333" s="8"/>
      <c r="N333" s="8"/>
      <c r="O333" s="8"/>
    </row>
    <row r="334" spans="1:15" x14ac:dyDescent="0.25">
      <c r="A334" s="8"/>
      <c r="B334" s="27"/>
      <c r="C334" s="27"/>
      <c r="D334" s="27"/>
      <c r="E334" s="27"/>
      <c r="F334" s="8"/>
      <c r="G334" s="8"/>
      <c r="H334" s="8"/>
      <c r="I334" s="8"/>
      <c r="J334" s="8"/>
      <c r="K334" s="8"/>
      <c r="L334" s="8"/>
      <c r="M334" s="8"/>
      <c r="N334" s="8"/>
      <c r="O334" s="8"/>
    </row>
    <row r="335" spans="1:15" x14ac:dyDescent="0.25">
      <c r="A335" s="8"/>
      <c r="B335" s="27"/>
      <c r="C335" s="27"/>
      <c r="D335" s="27"/>
      <c r="E335" s="27"/>
      <c r="F335" s="8"/>
      <c r="G335" s="8"/>
      <c r="H335" s="8"/>
      <c r="I335" s="8"/>
      <c r="J335" s="8"/>
      <c r="K335" s="8"/>
      <c r="L335" s="8"/>
      <c r="M335" s="8"/>
      <c r="N335" s="8"/>
      <c r="O335" s="8"/>
    </row>
    <row r="336" spans="1:15" x14ac:dyDescent="0.25">
      <c r="A336" s="8"/>
      <c r="B336" s="27"/>
      <c r="C336" s="27"/>
      <c r="D336" s="27"/>
      <c r="E336" s="27"/>
      <c r="F336" s="8"/>
      <c r="G336" s="8"/>
      <c r="H336" s="8"/>
      <c r="I336" s="8"/>
      <c r="J336" s="8"/>
      <c r="K336" s="8"/>
      <c r="L336" s="8"/>
      <c r="M336" s="8"/>
      <c r="N336" s="8"/>
      <c r="O336" s="8"/>
    </row>
    <row r="337" spans="1:15" x14ac:dyDescent="0.25">
      <c r="A337" s="8"/>
      <c r="B337" s="27"/>
      <c r="C337" s="27"/>
      <c r="D337" s="27"/>
      <c r="E337" s="27"/>
      <c r="F337" s="8"/>
      <c r="G337" s="8"/>
      <c r="H337" s="8"/>
      <c r="I337" s="8"/>
      <c r="J337" s="8"/>
      <c r="K337" s="8"/>
      <c r="L337" s="8"/>
      <c r="M337" s="8"/>
      <c r="N337" s="8"/>
      <c r="O337" s="8"/>
    </row>
    <row r="338" spans="1:15" x14ac:dyDescent="0.25">
      <c r="A338" s="8"/>
      <c r="B338" s="27"/>
      <c r="C338" s="27"/>
      <c r="D338" s="27"/>
      <c r="E338" s="27"/>
      <c r="F338" s="8"/>
      <c r="G338" s="8"/>
      <c r="H338" s="8"/>
      <c r="I338" s="8"/>
      <c r="J338" s="8"/>
      <c r="K338" s="8"/>
      <c r="L338" s="8"/>
      <c r="M338" s="8"/>
      <c r="N338" s="8"/>
      <c r="O338" s="8"/>
    </row>
    <row r="339" spans="1:15" x14ac:dyDescent="0.25">
      <c r="A339" s="8"/>
      <c r="B339" s="27"/>
      <c r="C339" s="27"/>
      <c r="D339" s="27"/>
      <c r="E339" s="27"/>
      <c r="F339" s="8"/>
      <c r="G339" s="8"/>
      <c r="H339" s="8"/>
      <c r="I339" s="8"/>
      <c r="J339" s="8"/>
      <c r="K339" s="8"/>
      <c r="L339" s="8"/>
      <c r="M339" s="8"/>
      <c r="N339" s="8"/>
      <c r="O339" s="8"/>
    </row>
    <row r="340" spans="1:15" x14ac:dyDescent="0.25">
      <c r="A340" s="8"/>
      <c r="B340" s="27"/>
      <c r="C340" s="27"/>
      <c r="D340" s="27"/>
      <c r="E340" s="27"/>
      <c r="F340" s="8"/>
      <c r="G340" s="8"/>
      <c r="H340" s="8"/>
      <c r="I340" s="8"/>
      <c r="J340" s="8"/>
      <c r="K340" s="8"/>
      <c r="L340" s="8"/>
      <c r="M340" s="8"/>
      <c r="N340" s="8"/>
      <c r="O340" s="8"/>
    </row>
    <row r="341" spans="1:15" x14ac:dyDescent="0.25">
      <c r="A341" s="8"/>
      <c r="B341" s="27"/>
      <c r="C341" s="27"/>
      <c r="D341" s="27"/>
      <c r="E341" s="27"/>
      <c r="F341" s="8"/>
      <c r="G341" s="8"/>
      <c r="H341" s="8"/>
      <c r="I341" s="8"/>
      <c r="J341" s="8"/>
      <c r="K341" s="8"/>
      <c r="L341" s="8"/>
      <c r="M341" s="8"/>
      <c r="N341" s="8"/>
      <c r="O341" s="8"/>
    </row>
    <row r="342" spans="1:15" x14ac:dyDescent="0.25">
      <c r="A342" s="8"/>
      <c r="B342" s="27"/>
      <c r="C342" s="27"/>
      <c r="D342" s="27"/>
      <c r="E342" s="27"/>
      <c r="F342" s="8"/>
      <c r="G342" s="8"/>
      <c r="H342" s="8"/>
      <c r="I342" s="8"/>
      <c r="J342" s="8"/>
      <c r="K342" s="8"/>
      <c r="L342" s="8"/>
      <c r="M342" s="8"/>
      <c r="N342" s="8"/>
      <c r="O342" s="8"/>
    </row>
    <row r="343" spans="1:15" x14ac:dyDescent="0.25">
      <c r="A343" s="8"/>
      <c r="B343" s="27"/>
      <c r="C343" s="27"/>
      <c r="D343" s="27"/>
      <c r="E343" s="27"/>
      <c r="F343" s="8"/>
      <c r="G343" s="8"/>
      <c r="H343" s="8"/>
      <c r="I343" s="8"/>
      <c r="J343" s="8"/>
      <c r="K343" s="8"/>
      <c r="L343" s="8"/>
      <c r="M343" s="8"/>
      <c r="N343" s="8"/>
      <c r="O343" s="8"/>
    </row>
    <row r="344" spans="1:15" x14ac:dyDescent="0.25">
      <c r="A344" s="8"/>
      <c r="B344" s="27"/>
      <c r="C344" s="27"/>
      <c r="D344" s="27"/>
      <c r="E344" s="27"/>
      <c r="F344" s="8"/>
      <c r="G344" s="8"/>
      <c r="H344" s="8"/>
      <c r="I344" s="8"/>
      <c r="J344" s="8"/>
      <c r="K344" s="8"/>
      <c r="L344" s="8"/>
      <c r="M344" s="8"/>
      <c r="N344" s="8"/>
      <c r="O344" s="8"/>
    </row>
    <row r="345" spans="1:15" x14ac:dyDescent="0.25">
      <c r="A345" s="8"/>
      <c r="B345" s="27"/>
      <c r="C345" s="27"/>
      <c r="D345" s="27"/>
      <c r="E345" s="27"/>
      <c r="F345" s="8"/>
      <c r="G345" s="8"/>
      <c r="H345" s="8"/>
      <c r="I345" s="8"/>
      <c r="J345" s="8"/>
      <c r="K345" s="8"/>
      <c r="L345" s="8"/>
      <c r="M345" s="8"/>
      <c r="N345" s="8"/>
      <c r="O345" s="8"/>
    </row>
    <row r="346" spans="1:15" x14ac:dyDescent="0.25">
      <c r="A346" s="8"/>
      <c r="B346" s="27"/>
      <c r="C346" s="27"/>
      <c r="D346" s="27"/>
      <c r="E346" s="27"/>
      <c r="F346" s="8"/>
      <c r="G346" s="8"/>
      <c r="H346" s="8"/>
      <c r="I346" s="8"/>
      <c r="J346" s="8"/>
      <c r="K346" s="8"/>
      <c r="L346" s="8"/>
      <c r="M346" s="8"/>
      <c r="N346" s="8"/>
      <c r="O346" s="8"/>
    </row>
    <row r="347" spans="1:15" x14ac:dyDescent="0.25">
      <c r="A347" s="8"/>
      <c r="B347" s="27"/>
      <c r="C347" s="27"/>
      <c r="D347" s="27"/>
      <c r="E347" s="27"/>
      <c r="F347" s="8"/>
      <c r="G347" s="8"/>
      <c r="H347" s="8"/>
      <c r="I347" s="8"/>
      <c r="J347" s="8"/>
      <c r="K347" s="8"/>
      <c r="L347" s="8"/>
      <c r="M347" s="8"/>
      <c r="N347" s="8"/>
      <c r="O347" s="8"/>
    </row>
    <row r="348" spans="1:15" x14ac:dyDescent="0.25">
      <c r="A348" s="8"/>
      <c r="B348" s="27"/>
      <c r="C348" s="27"/>
      <c r="D348" s="27"/>
      <c r="E348" s="27"/>
      <c r="F348" s="8"/>
      <c r="G348" s="8"/>
      <c r="H348" s="8"/>
      <c r="I348" s="8"/>
      <c r="J348" s="8"/>
      <c r="K348" s="8"/>
      <c r="L348" s="8"/>
      <c r="M348" s="8"/>
      <c r="N348" s="8"/>
      <c r="O348" s="8"/>
    </row>
    <row r="349" spans="1:15" x14ac:dyDescent="0.25">
      <c r="A349" s="8"/>
      <c r="B349" s="27"/>
      <c r="C349" s="27"/>
      <c r="D349" s="27"/>
      <c r="E349" s="27"/>
      <c r="F349" s="8"/>
      <c r="G349" s="8"/>
      <c r="H349" s="8"/>
      <c r="I349" s="8"/>
      <c r="J349" s="8"/>
      <c r="K349" s="8"/>
      <c r="L349" s="8"/>
      <c r="M349" s="8"/>
      <c r="N349" s="8"/>
      <c r="O349" s="8"/>
    </row>
    <row r="350" spans="1:15" x14ac:dyDescent="0.25">
      <c r="A350" s="8"/>
      <c r="B350" s="27"/>
      <c r="C350" s="27"/>
      <c r="D350" s="27"/>
      <c r="E350" s="27"/>
      <c r="F350" s="8"/>
      <c r="G350" s="8"/>
      <c r="H350" s="8"/>
      <c r="I350" s="8"/>
      <c r="J350" s="8"/>
      <c r="K350" s="8"/>
      <c r="L350" s="8"/>
      <c r="M350" s="8"/>
      <c r="N350" s="8"/>
      <c r="O350" s="8"/>
    </row>
    <row r="351" spans="1:15" x14ac:dyDescent="0.25">
      <c r="A351" s="8"/>
      <c r="B351" s="27"/>
      <c r="C351" s="27"/>
      <c r="D351" s="27"/>
      <c r="E351" s="27"/>
      <c r="F351" s="8"/>
      <c r="G351" s="8"/>
      <c r="H351" s="8"/>
      <c r="I351" s="8"/>
      <c r="J351" s="8"/>
      <c r="K351" s="8"/>
      <c r="L351" s="8"/>
      <c r="M351" s="8"/>
      <c r="N351" s="8"/>
      <c r="O351" s="8"/>
    </row>
    <row r="352" spans="1:15" x14ac:dyDescent="0.25">
      <c r="A352" s="8"/>
      <c r="B352" s="27"/>
      <c r="C352" s="27"/>
      <c r="D352" s="27"/>
      <c r="E352" s="27"/>
      <c r="F352" s="8"/>
      <c r="G352" s="8"/>
      <c r="H352" s="8"/>
      <c r="I352" s="8"/>
      <c r="J352" s="8"/>
      <c r="K352" s="8"/>
      <c r="L352" s="8"/>
      <c r="M352" s="8"/>
      <c r="N352" s="8"/>
      <c r="O352" s="8"/>
    </row>
    <row r="353" spans="1:15" x14ac:dyDescent="0.25">
      <c r="A353" s="8"/>
      <c r="B353" s="27"/>
      <c r="C353" s="27"/>
      <c r="D353" s="27"/>
      <c r="E353" s="27"/>
      <c r="F353" s="8"/>
      <c r="G353" s="8"/>
      <c r="H353" s="8"/>
      <c r="I353" s="8"/>
      <c r="J353" s="8"/>
      <c r="K353" s="8"/>
      <c r="L353" s="8"/>
      <c r="M353" s="8"/>
      <c r="N353" s="8"/>
      <c r="O353" s="8"/>
    </row>
    <row r="354" spans="1:15" x14ac:dyDescent="0.25">
      <c r="A354" s="8"/>
      <c r="B354" s="27"/>
      <c r="C354" s="27"/>
      <c r="D354" s="27"/>
      <c r="E354" s="27"/>
      <c r="F354" s="8"/>
      <c r="G354" s="8"/>
      <c r="H354" s="8"/>
      <c r="I354" s="8"/>
      <c r="J354" s="8"/>
      <c r="K354" s="8"/>
      <c r="L354" s="8"/>
      <c r="M354" s="8"/>
      <c r="N354" s="8"/>
      <c r="O354" s="8"/>
    </row>
    <row r="355" spans="1:15" x14ac:dyDescent="0.25">
      <c r="A355" s="8"/>
      <c r="B355" s="27"/>
      <c r="C355" s="27"/>
      <c r="D355" s="27"/>
      <c r="E355" s="27"/>
      <c r="F355" s="8"/>
      <c r="G355" s="8"/>
      <c r="H355" s="8"/>
      <c r="I355" s="8"/>
      <c r="J355" s="8"/>
      <c r="K355" s="8"/>
      <c r="L355" s="8"/>
      <c r="M355" s="8"/>
      <c r="N355" s="8"/>
      <c r="O355" s="8"/>
    </row>
    <row r="356" spans="1:15" x14ac:dyDescent="0.25">
      <c r="A356" s="8"/>
      <c r="B356" s="27"/>
      <c r="C356" s="27"/>
      <c r="D356" s="27"/>
      <c r="E356" s="27"/>
      <c r="F356" s="8"/>
      <c r="G356" s="8"/>
      <c r="H356" s="8"/>
      <c r="I356" s="8"/>
      <c r="J356" s="8"/>
      <c r="K356" s="8"/>
      <c r="L356" s="8"/>
      <c r="M356" s="8"/>
      <c r="N356" s="8"/>
      <c r="O356" s="8"/>
    </row>
    <row r="357" spans="1:15" x14ac:dyDescent="0.25">
      <c r="A357" s="8"/>
      <c r="B357" s="27"/>
      <c r="C357" s="27"/>
      <c r="D357" s="27"/>
      <c r="E357" s="27"/>
      <c r="F357" s="8"/>
      <c r="G357" s="8"/>
      <c r="H357" s="8"/>
      <c r="I357" s="8"/>
      <c r="J357" s="8"/>
      <c r="K357" s="8"/>
      <c r="L357" s="8"/>
      <c r="M357" s="8"/>
      <c r="N357" s="8"/>
      <c r="O357" s="8"/>
    </row>
    <row r="358" spans="1:15" x14ac:dyDescent="0.25">
      <c r="A358" s="8"/>
      <c r="B358" s="27"/>
      <c r="C358" s="27"/>
      <c r="D358" s="27"/>
      <c r="E358" s="27"/>
      <c r="F358" s="8"/>
      <c r="G358" s="8"/>
      <c r="H358" s="8"/>
      <c r="I358" s="8"/>
      <c r="J358" s="8"/>
      <c r="K358" s="8"/>
      <c r="L358" s="8"/>
      <c r="M358" s="8"/>
      <c r="N358" s="8"/>
      <c r="O358" s="8"/>
    </row>
    <row r="359" spans="1:15" x14ac:dyDescent="0.25">
      <c r="A359" s="8"/>
      <c r="B359" s="27"/>
      <c r="C359" s="27"/>
      <c r="D359" s="27"/>
      <c r="E359" s="27"/>
      <c r="F359" s="8"/>
      <c r="G359" s="8"/>
      <c r="H359" s="8"/>
      <c r="I359" s="8"/>
      <c r="J359" s="8"/>
      <c r="K359" s="8"/>
      <c r="L359" s="8"/>
      <c r="M359" s="8"/>
      <c r="N359" s="8"/>
      <c r="O359" s="8"/>
    </row>
    <row r="360" spans="1:15" x14ac:dyDescent="0.25">
      <c r="A360" s="8"/>
      <c r="B360" s="27"/>
      <c r="C360" s="27"/>
      <c r="D360" s="27"/>
      <c r="E360" s="27"/>
      <c r="F360" s="8"/>
      <c r="G360" s="8"/>
      <c r="H360" s="8"/>
      <c r="I360" s="8"/>
      <c r="J360" s="8"/>
      <c r="K360" s="8"/>
      <c r="L360" s="8"/>
      <c r="M360" s="8"/>
      <c r="N360" s="8"/>
      <c r="O360" s="8"/>
    </row>
    <row r="361" spans="1:15" x14ac:dyDescent="0.25">
      <c r="A361" s="8"/>
      <c r="B361" s="27"/>
      <c r="C361" s="27"/>
      <c r="D361" s="27"/>
      <c r="E361" s="27"/>
      <c r="F361" s="8"/>
      <c r="G361" s="8"/>
      <c r="H361" s="8"/>
      <c r="I361" s="8"/>
      <c r="J361" s="8"/>
      <c r="K361" s="8"/>
      <c r="L361" s="8"/>
      <c r="M361" s="8"/>
      <c r="N361" s="8"/>
      <c r="O361" s="8"/>
    </row>
    <row r="362" spans="1:15" x14ac:dyDescent="0.25">
      <c r="A362" s="8"/>
      <c r="B362" s="27"/>
      <c r="C362" s="27"/>
      <c r="D362" s="27"/>
      <c r="E362" s="27"/>
      <c r="F362" s="8"/>
      <c r="G362" s="8"/>
      <c r="H362" s="8"/>
      <c r="I362" s="8"/>
      <c r="J362" s="8"/>
      <c r="K362" s="8"/>
      <c r="L362" s="8"/>
      <c r="M362" s="8"/>
      <c r="N362" s="8"/>
      <c r="O362" s="8"/>
    </row>
    <row r="363" spans="1:15" x14ac:dyDescent="0.25">
      <c r="A363" s="8"/>
      <c r="B363" s="27"/>
      <c r="C363" s="27"/>
      <c r="D363" s="27"/>
      <c r="E363" s="27"/>
      <c r="F363" s="8"/>
      <c r="G363" s="8"/>
      <c r="H363" s="8"/>
      <c r="I363" s="8"/>
      <c r="J363" s="8"/>
      <c r="K363" s="8"/>
      <c r="L363" s="8"/>
      <c r="M363" s="8"/>
      <c r="N363" s="8"/>
      <c r="O363" s="8"/>
    </row>
    <row r="364" spans="1:15" x14ac:dyDescent="0.25">
      <c r="A364" s="8"/>
      <c r="B364" s="27"/>
      <c r="C364" s="27"/>
      <c r="D364" s="27"/>
      <c r="E364" s="27"/>
      <c r="F364" s="8"/>
      <c r="G364" s="8"/>
      <c r="H364" s="8"/>
      <c r="I364" s="8"/>
      <c r="J364" s="8"/>
      <c r="K364" s="8"/>
      <c r="L364" s="8"/>
      <c r="M364" s="8"/>
      <c r="N364" s="8"/>
      <c r="O364" s="8"/>
    </row>
    <row r="365" spans="1:15" x14ac:dyDescent="0.25">
      <c r="A365" s="8"/>
      <c r="B365" s="27"/>
      <c r="C365" s="27"/>
      <c r="D365" s="27"/>
      <c r="E365" s="27"/>
      <c r="F365" s="8"/>
      <c r="G365" s="8"/>
      <c r="H365" s="8"/>
      <c r="I365" s="8"/>
      <c r="J365" s="8"/>
      <c r="K365" s="8"/>
      <c r="L365" s="8"/>
      <c r="M365" s="8"/>
      <c r="N365" s="8"/>
      <c r="O365" s="8"/>
    </row>
    <row r="366" spans="1:15" x14ac:dyDescent="0.25">
      <c r="A366" s="8"/>
      <c r="B366" s="27"/>
      <c r="C366" s="27"/>
      <c r="D366" s="27"/>
      <c r="E366" s="27"/>
      <c r="F366" s="8"/>
      <c r="G366" s="8"/>
      <c r="H366" s="8"/>
      <c r="I366" s="8"/>
      <c r="J366" s="8"/>
      <c r="K366" s="8"/>
      <c r="L366" s="8"/>
      <c r="M366" s="8"/>
      <c r="N366" s="8"/>
      <c r="O366" s="8"/>
    </row>
    <row r="367" spans="1:15" x14ac:dyDescent="0.25">
      <c r="A367" s="8"/>
      <c r="B367" s="27"/>
      <c r="C367" s="27"/>
      <c r="D367" s="27"/>
      <c r="E367" s="27"/>
      <c r="F367" s="8"/>
      <c r="G367" s="8"/>
      <c r="H367" s="8"/>
      <c r="I367" s="8"/>
      <c r="J367" s="8"/>
      <c r="K367" s="8"/>
      <c r="L367" s="8"/>
      <c r="M367" s="8"/>
      <c r="N367" s="8"/>
      <c r="O367" s="8"/>
    </row>
    <row r="368" spans="1:15" x14ac:dyDescent="0.25">
      <c r="A368" s="8"/>
      <c r="B368" s="27"/>
      <c r="C368" s="27"/>
      <c r="D368" s="27"/>
      <c r="E368" s="27"/>
      <c r="F368" s="8"/>
      <c r="G368" s="8"/>
      <c r="H368" s="8"/>
      <c r="I368" s="8"/>
      <c r="J368" s="8"/>
      <c r="K368" s="8"/>
      <c r="L368" s="8"/>
      <c r="M368" s="8"/>
      <c r="N368" s="8"/>
      <c r="O368" s="8"/>
    </row>
    <row r="369" spans="1:15" x14ac:dyDescent="0.25">
      <c r="A369" s="8"/>
      <c r="B369" s="27"/>
      <c r="C369" s="27"/>
      <c r="D369" s="27"/>
      <c r="E369" s="27"/>
      <c r="F369" s="8"/>
      <c r="G369" s="8"/>
      <c r="H369" s="8"/>
      <c r="I369" s="8"/>
      <c r="J369" s="8"/>
      <c r="K369" s="8"/>
      <c r="L369" s="8"/>
      <c r="M369" s="8"/>
      <c r="N369" s="8"/>
      <c r="O369" s="8"/>
    </row>
    <row r="370" spans="1:15" x14ac:dyDescent="0.25">
      <c r="A370" s="8"/>
      <c r="B370" s="27"/>
      <c r="C370" s="27"/>
      <c r="D370" s="27"/>
      <c r="E370" s="27"/>
      <c r="F370" s="8"/>
      <c r="G370" s="8"/>
      <c r="H370" s="8"/>
      <c r="I370" s="8"/>
      <c r="J370" s="8"/>
      <c r="K370" s="8"/>
      <c r="L370" s="8"/>
      <c r="M370" s="8"/>
      <c r="N370" s="8"/>
      <c r="O370" s="8"/>
    </row>
    <row r="371" spans="1:15" x14ac:dyDescent="0.25">
      <c r="A371" s="8"/>
      <c r="B371" s="27"/>
      <c r="C371" s="27"/>
      <c r="D371" s="27"/>
      <c r="E371" s="27"/>
      <c r="F371" s="8"/>
      <c r="G371" s="8"/>
      <c r="H371" s="8"/>
      <c r="I371" s="8"/>
      <c r="J371" s="8"/>
      <c r="K371" s="8"/>
      <c r="L371" s="8"/>
      <c r="M371" s="8"/>
      <c r="N371" s="8"/>
      <c r="O371" s="8"/>
    </row>
    <row r="372" spans="1:15" x14ac:dyDescent="0.25">
      <c r="A372" s="8"/>
      <c r="B372" s="27"/>
      <c r="C372" s="27"/>
      <c r="D372" s="27"/>
      <c r="E372" s="27"/>
      <c r="F372" s="8"/>
      <c r="G372" s="8"/>
      <c r="H372" s="8"/>
      <c r="I372" s="8"/>
      <c r="J372" s="8"/>
      <c r="K372" s="8"/>
      <c r="L372" s="8"/>
      <c r="M372" s="8"/>
      <c r="N372" s="8"/>
      <c r="O372" s="8"/>
    </row>
    <row r="373" spans="1:15" x14ac:dyDescent="0.25">
      <c r="A373" s="8"/>
      <c r="B373" s="27"/>
      <c r="C373" s="27"/>
      <c r="D373" s="27"/>
      <c r="E373" s="27"/>
      <c r="F373" s="8"/>
      <c r="G373" s="8"/>
      <c r="H373" s="8"/>
      <c r="I373" s="8"/>
      <c r="J373" s="8"/>
      <c r="K373" s="8"/>
      <c r="L373" s="8"/>
      <c r="M373" s="8"/>
      <c r="N373" s="8"/>
      <c r="O373" s="8"/>
    </row>
    <row r="374" spans="1:15" x14ac:dyDescent="0.25">
      <c r="A374" s="8"/>
      <c r="B374" s="27"/>
      <c r="C374" s="27"/>
      <c r="D374" s="27"/>
      <c r="E374" s="27"/>
      <c r="F374" s="8"/>
      <c r="G374" s="8"/>
      <c r="H374" s="8"/>
      <c r="I374" s="8"/>
      <c r="J374" s="8"/>
      <c r="K374" s="8"/>
      <c r="L374" s="8"/>
      <c r="M374" s="8"/>
      <c r="N374" s="8"/>
      <c r="O374" s="8"/>
    </row>
    <row r="375" spans="1:15" x14ac:dyDescent="0.25">
      <c r="A375" s="8"/>
      <c r="B375" s="27"/>
      <c r="C375" s="27"/>
      <c r="D375" s="27"/>
      <c r="E375" s="27"/>
      <c r="F375" s="8"/>
      <c r="G375" s="8"/>
      <c r="H375" s="8"/>
      <c r="I375" s="8"/>
      <c r="J375" s="8"/>
      <c r="K375" s="8"/>
      <c r="L375" s="8"/>
      <c r="M375" s="8"/>
      <c r="N375" s="8"/>
      <c r="O375" s="8"/>
    </row>
    <row r="376" spans="1:15" x14ac:dyDescent="0.25">
      <c r="A376" s="8"/>
      <c r="B376" s="27"/>
      <c r="C376" s="27"/>
      <c r="D376" s="27"/>
      <c r="E376" s="27"/>
      <c r="F376" s="8"/>
      <c r="G376" s="8"/>
      <c r="H376" s="8"/>
      <c r="I376" s="8"/>
      <c r="J376" s="8"/>
      <c r="K376" s="8"/>
      <c r="L376" s="8"/>
      <c r="M376" s="8"/>
      <c r="N376" s="8"/>
      <c r="O376" s="8"/>
    </row>
    <row r="377" spans="1:15" x14ac:dyDescent="0.25">
      <c r="A377" s="8"/>
      <c r="B377" s="27"/>
      <c r="C377" s="27"/>
      <c r="D377" s="27"/>
      <c r="E377" s="27"/>
      <c r="F377" s="8"/>
      <c r="G377" s="8"/>
      <c r="H377" s="8"/>
      <c r="I377" s="8"/>
      <c r="J377" s="8"/>
      <c r="K377" s="8"/>
      <c r="L377" s="8"/>
      <c r="M377" s="8"/>
      <c r="N377" s="8"/>
      <c r="O377" s="8"/>
    </row>
    <row r="378" spans="1:15" x14ac:dyDescent="0.25">
      <c r="A378" s="8"/>
      <c r="B378" s="27"/>
      <c r="C378" s="27"/>
      <c r="D378" s="27"/>
      <c r="E378" s="27"/>
      <c r="F378" s="8"/>
      <c r="G378" s="8"/>
      <c r="H378" s="8"/>
      <c r="I378" s="8"/>
      <c r="J378" s="8"/>
      <c r="K378" s="8"/>
      <c r="L378" s="8"/>
      <c r="M378" s="8"/>
      <c r="N378" s="8"/>
      <c r="O378" s="8"/>
    </row>
    <row r="379" spans="1:15" x14ac:dyDescent="0.25">
      <c r="A379" s="8"/>
      <c r="B379" s="27"/>
      <c r="C379" s="27"/>
      <c r="D379" s="27"/>
      <c r="E379" s="27"/>
      <c r="F379" s="8"/>
      <c r="G379" s="8"/>
      <c r="H379" s="8"/>
      <c r="I379" s="8"/>
      <c r="J379" s="8"/>
      <c r="K379" s="8"/>
      <c r="L379" s="8"/>
      <c r="M379" s="8"/>
      <c r="N379" s="8"/>
      <c r="O379" s="8"/>
    </row>
    <row r="380" spans="1:15" x14ac:dyDescent="0.25">
      <c r="A380" s="8"/>
      <c r="B380" s="27"/>
      <c r="C380" s="27"/>
      <c r="D380" s="27"/>
      <c r="E380" s="27"/>
      <c r="F380" s="8"/>
      <c r="G380" s="8"/>
      <c r="H380" s="8"/>
      <c r="I380" s="8"/>
      <c r="J380" s="8"/>
      <c r="K380" s="8"/>
      <c r="L380" s="8"/>
      <c r="M380" s="8"/>
      <c r="N380" s="8"/>
      <c r="O380" s="8"/>
    </row>
    <row r="381" spans="1:15" x14ac:dyDescent="0.25">
      <c r="A381" s="8"/>
      <c r="B381" s="27"/>
      <c r="C381" s="27"/>
      <c r="D381" s="27"/>
      <c r="E381" s="27"/>
      <c r="F381" s="8"/>
      <c r="G381" s="8"/>
      <c r="H381" s="8"/>
      <c r="I381" s="8"/>
      <c r="J381" s="8"/>
      <c r="K381" s="8"/>
      <c r="L381" s="8"/>
      <c r="M381" s="8"/>
      <c r="N381" s="8"/>
      <c r="O381" s="8"/>
    </row>
    <row r="382" spans="1:15" x14ac:dyDescent="0.25">
      <c r="A382" s="8"/>
      <c r="B382" s="27"/>
      <c r="C382" s="27"/>
      <c r="D382" s="27"/>
      <c r="E382" s="27"/>
      <c r="F382" s="8"/>
      <c r="G382" s="8"/>
      <c r="H382" s="8"/>
      <c r="I382" s="8"/>
      <c r="J382" s="8"/>
      <c r="K382" s="8"/>
      <c r="L382" s="8"/>
      <c r="M382" s="8"/>
      <c r="N382" s="8"/>
      <c r="O382" s="8"/>
    </row>
    <row r="383" spans="1:15" x14ac:dyDescent="0.25">
      <c r="A383" s="8"/>
      <c r="B383" s="27"/>
      <c r="C383" s="27"/>
      <c r="D383" s="27"/>
      <c r="E383" s="27"/>
      <c r="F383" s="8"/>
      <c r="G383" s="8"/>
      <c r="H383" s="8"/>
      <c r="I383" s="8"/>
      <c r="J383" s="8"/>
      <c r="K383" s="8"/>
      <c r="L383" s="8"/>
      <c r="M383" s="8"/>
      <c r="N383" s="8"/>
      <c r="O383" s="8"/>
    </row>
    <row r="384" spans="1:15" x14ac:dyDescent="0.25">
      <c r="A384" s="8"/>
      <c r="B384" s="27"/>
      <c r="C384" s="27"/>
      <c r="D384" s="27"/>
      <c r="E384" s="27"/>
      <c r="F384" s="8"/>
      <c r="G384" s="8"/>
      <c r="H384" s="8"/>
      <c r="I384" s="8"/>
      <c r="J384" s="8"/>
      <c r="K384" s="8"/>
      <c r="L384" s="8"/>
      <c r="M384" s="8"/>
      <c r="N384" s="8"/>
      <c r="O384" s="8"/>
    </row>
    <row r="385" spans="1:15" x14ac:dyDescent="0.25">
      <c r="A385" s="8"/>
      <c r="B385" s="27"/>
      <c r="C385" s="27"/>
      <c r="D385" s="27"/>
      <c r="E385" s="27"/>
      <c r="F385" s="8"/>
      <c r="G385" s="8"/>
      <c r="H385" s="8"/>
      <c r="I385" s="8"/>
      <c r="J385" s="8"/>
      <c r="K385" s="8"/>
      <c r="L385" s="8"/>
      <c r="M385" s="8"/>
      <c r="N385" s="8"/>
      <c r="O385" s="8"/>
    </row>
    <row r="386" spans="1:15" x14ac:dyDescent="0.25">
      <c r="A386" s="8"/>
      <c r="B386" s="27"/>
      <c r="C386" s="27"/>
      <c r="D386" s="27"/>
      <c r="E386" s="27"/>
      <c r="F386" s="8"/>
      <c r="G386" s="8"/>
      <c r="H386" s="8"/>
      <c r="I386" s="8"/>
      <c r="J386" s="8"/>
      <c r="K386" s="8"/>
      <c r="L386" s="8"/>
      <c r="M386" s="8"/>
      <c r="N386" s="8"/>
      <c r="O386" s="8"/>
    </row>
    <row r="387" spans="1:15" x14ac:dyDescent="0.25">
      <c r="A387" s="8"/>
      <c r="B387" s="27"/>
      <c r="C387" s="27"/>
      <c r="D387" s="27"/>
      <c r="E387" s="27"/>
      <c r="F387" s="8"/>
      <c r="G387" s="8"/>
      <c r="H387" s="8"/>
      <c r="I387" s="8"/>
      <c r="J387" s="8"/>
      <c r="K387" s="8"/>
      <c r="L387" s="8"/>
      <c r="M387" s="8"/>
      <c r="N387" s="8"/>
      <c r="O387" s="8"/>
    </row>
    <row r="388" spans="1:15" x14ac:dyDescent="0.25">
      <c r="A388" s="8"/>
      <c r="B388" s="27"/>
      <c r="C388" s="27"/>
      <c r="D388" s="27"/>
      <c r="E388" s="27"/>
      <c r="F388" s="8"/>
      <c r="G388" s="8"/>
      <c r="H388" s="8"/>
      <c r="I388" s="8"/>
      <c r="J388" s="8"/>
      <c r="K388" s="8"/>
      <c r="L388" s="8"/>
      <c r="M388" s="8"/>
      <c r="N388" s="8"/>
      <c r="O388" s="8"/>
    </row>
    <row r="389" spans="1:15" x14ac:dyDescent="0.25">
      <c r="A389" s="8"/>
      <c r="B389" s="27"/>
      <c r="C389" s="27"/>
      <c r="D389" s="27"/>
      <c r="E389" s="27"/>
      <c r="F389" s="8"/>
      <c r="G389" s="8"/>
      <c r="H389" s="8"/>
      <c r="I389" s="8"/>
      <c r="J389" s="8"/>
      <c r="K389" s="8"/>
      <c r="L389" s="8"/>
      <c r="M389" s="8"/>
      <c r="N389" s="8"/>
      <c r="O389" s="8"/>
    </row>
    <row r="390" spans="1:15" x14ac:dyDescent="0.25">
      <c r="A390" s="8"/>
      <c r="B390" s="27"/>
      <c r="C390" s="27"/>
      <c r="D390" s="27"/>
      <c r="E390" s="27"/>
      <c r="F390" s="8"/>
      <c r="G390" s="8"/>
      <c r="H390" s="8"/>
      <c r="I390" s="8"/>
      <c r="J390" s="8"/>
      <c r="K390" s="8"/>
      <c r="L390" s="8"/>
      <c r="M390" s="8"/>
      <c r="N390" s="8"/>
      <c r="O390" s="8"/>
    </row>
    <row r="391" spans="1:15" x14ac:dyDescent="0.25">
      <c r="A391" s="8"/>
      <c r="B391" s="27"/>
      <c r="C391" s="27"/>
      <c r="D391" s="27"/>
      <c r="E391" s="27"/>
      <c r="F391" s="8"/>
      <c r="G391" s="8"/>
      <c r="H391" s="8"/>
      <c r="I391" s="8"/>
      <c r="J391" s="8"/>
      <c r="K391" s="8"/>
      <c r="L391" s="8"/>
      <c r="M391" s="8"/>
      <c r="N391" s="8"/>
      <c r="O391" s="8"/>
    </row>
    <row r="392" spans="1:15" x14ac:dyDescent="0.25">
      <c r="A392" s="8"/>
      <c r="B392" s="27"/>
      <c r="C392" s="27"/>
      <c r="D392" s="27"/>
      <c r="E392" s="27"/>
      <c r="F392" s="8"/>
      <c r="G392" s="8"/>
      <c r="H392" s="8"/>
      <c r="I392" s="8"/>
      <c r="J392" s="8"/>
      <c r="K392" s="8"/>
      <c r="L392" s="8"/>
      <c r="M392" s="8"/>
      <c r="N392" s="8"/>
      <c r="O392" s="8"/>
    </row>
    <row r="393" spans="1:15" x14ac:dyDescent="0.25">
      <c r="A393" s="8"/>
      <c r="B393" s="27"/>
      <c r="C393" s="27"/>
      <c r="D393" s="27"/>
      <c r="E393" s="27"/>
      <c r="F393" s="8"/>
      <c r="G393" s="8"/>
      <c r="H393" s="8"/>
      <c r="I393" s="8"/>
      <c r="J393" s="8"/>
      <c r="K393" s="8"/>
      <c r="L393" s="8"/>
      <c r="M393" s="8"/>
      <c r="N393" s="8"/>
      <c r="O393" s="8"/>
    </row>
    <row r="394" spans="1:15" x14ac:dyDescent="0.25">
      <c r="A394" s="8"/>
      <c r="B394" s="27"/>
      <c r="C394" s="27"/>
      <c r="D394" s="27"/>
      <c r="E394" s="27"/>
      <c r="F394" s="8"/>
      <c r="G394" s="8"/>
      <c r="H394" s="8"/>
      <c r="I394" s="8"/>
      <c r="J394" s="8"/>
      <c r="K394" s="8"/>
      <c r="L394" s="8"/>
      <c r="M394" s="8"/>
      <c r="N394" s="8"/>
      <c r="O394" s="8"/>
    </row>
    <row r="395" spans="1:15" x14ac:dyDescent="0.25">
      <c r="A395" s="8"/>
      <c r="B395" s="27"/>
      <c r="C395" s="27"/>
      <c r="D395" s="27"/>
      <c r="E395" s="27"/>
      <c r="F395" s="8"/>
      <c r="G395" s="8"/>
      <c r="H395" s="8"/>
      <c r="I395" s="8"/>
      <c r="J395" s="8"/>
      <c r="K395" s="8"/>
      <c r="L395" s="8"/>
      <c r="M395" s="8"/>
      <c r="N395" s="8"/>
      <c r="O395" s="8"/>
    </row>
    <row r="396" spans="1:15" x14ac:dyDescent="0.25">
      <c r="A396" s="8"/>
      <c r="B396" s="27"/>
      <c r="C396" s="27"/>
      <c r="D396" s="27"/>
      <c r="E396" s="27"/>
      <c r="F396" s="8"/>
      <c r="G396" s="8"/>
      <c r="H396" s="8"/>
      <c r="I396" s="8"/>
      <c r="J396" s="8"/>
      <c r="K396" s="8"/>
      <c r="L396" s="8"/>
      <c r="M396" s="8"/>
      <c r="N396" s="8"/>
      <c r="O396" s="8"/>
    </row>
    <row r="397" spans="1:15" x14ac:dyDescent="0.25">
      <c r="A397" s="8"/>
      <c r="B397" s="27"/>
      <c r="C397" s="27"/>
      <c r="D397" s="27"/>
      <c r="E397" s="27"/>
      <c r="F397" s="8"/>
      <c r="G397" s="8"/>
      <c r="H397" s="8"/>
      <c r="I397" s="8"/>
      <c r="J397" s="8"/>
      <c r="K397" s="8"/>
      <c r="L397" s="8"/>
      <c r="M397" s="8"/>
      <c r="N397" s="8"/>
      <c r="O397" s="8"/>
    </row>
    <row r="398" spans="1:15" x14ac:dyDescent="0.25">
      <c r="A398" s="8"/>
      <c r="B398" s="27"/>
      <c r="C398" s="27"/>
      <c r="D398" s="27"/>
      <c r="E398" s="27"/>
      <c r="F398" s="8"/>
      <c r="G398" s="8"/>
      <c r="H398" s="8"/>
      <c r="I398" s="8"/>
      <c r="J398" s="8"/>
      <c r="K398" s="8"/>
      <c r="L398" s="8"/>
      <c r="M398" s="8"/>
      <c r="N398" s="8"/>
      <c r="O398" s="8"/>
    </row>
    <row r="399" spans="1:15" x14ac:dyDescent="0.25">
      <c r="A399" s="8"/>
      <c r="B399" s="27"/>
      <c r="C399" s="27"/>
      <c r="D399" s="27"/>
      <c r="E399" s="27"/>
      <c r="F399" s="8"/>
      <c r="G399" s="8"/>
      <c r="H399" s="8"/>
      <c r="I399" s="8"/>
      <c r="J399" s="8"/>
      <c r="K399" s="8"/>
      <c r="L399" s="8"/>
      <c r="M399" s="8"/>
      <c r="N399" s="8"/>
      <c r="O399" s="8"/>
    </row>
    <row r="400" spans="1:15" x14ac:dyDescent="0.25">
      <c r="A400" s="8"/>
      <c r="B400" s="27"/>
      <c r="C400" s="27"/>
      <c r="D400" s="27"/>
      <c r="E400" s="27"/>
      <c r="F400" s="8"/>
      <c r="G400" s="8"/>
      <c r="H400" s="8"/>
      <c r="I400" s="8"/>
      <c r="J400" s="8"/>
      <c r="K400" s="8"/>
      <c r="L400" s="8"/>
      <c r="M400" s="8"/>
      <c r="N400" s="8"/>
      <c r="O400" s="8"/>
    </row>
    <row r="401" spans="1:15" x14ac:dyDescent="0.25">
      <c r="A401" s="8"/>
      <c r="B401" s="27"/>
      <c r="C401" s="27"/>
      <c r="D401" s="27"/>
      <c r="E401" s="27"/>
      <c r="F401" s="8"/>
      <c r="G401" s="8"/>
      <c r="H401" s="8"/>
      <c r="I401" s="8"/>
      <c r="J401" s="8"/>
      <c r="K401" s="8"/>
      <c r="L401" s="8"/>
      <c r="M401" s="8"/>
      <c r="N401" s="8"/>
      <c r="O401" s="8"/>
    </row>
    <row r="402" spans="1:15" x14ac:dyDescent="0.25">
      <c r="A402" s="8"/>
      <c r="B402" s="27"/>
      <c r="C402" s="27"/>
      <c r="D402" s="27"/>
      <c r="E402" s="27"/>
      <c r="F402" s="8"/>
      <c r="G402" s="8"/>
      <c r="H402" s="8"/>
      <c r="I402" s="8"/>
      <c r="J402" s="8"/>
      <c r="K402" s="8"/>
      <c r="L402" s="8"/>
      <c r="M402" s="8"/>
      <c r="N402" s="8"/>
      <c r="O402" s="8"/>
    </row>
    <row r="403" spans="1:15" x14ac:dyDescent="0.25">
      <c r="A403" s="8"/>
      <c r="B403" s="27"/>
      <c r="C403" s="27"/>
      <c r="D403" s="27"/>
      <c r="E403" s="27"/>
      <c r="F403" s="8"/>
      <c r="G403" s="8"/>
      <c r="H403" s="8"/>
      <c r="I403" s="8"/>
      <c r="J403" s="8"/>
      <c r="K403" s="8"/>
      <c r="L403" s="8"/>
      <c r="M403" s="8"/>
      <c r="N403" s="8"/>
      <c r="O403" s="8"/>
    </row>
    <row r="404" spans="1:15" x14ac:dyDescent="0.25">
      <c r="A404" s="8"/>
      <c r="B404" s="27"/>
      <c r="C404" s="27"/>
      <c r="D404" s="27"/>
      <c r="E404" s="27"/>
      <c r="F404" s="8"/>
      <c r="G404" s="8"/>
      <c r="H404" s="8"/>
      <c r="I404" s="8"/>
      <c r="J404" s="8"/>
      <c r="K404" s="8"/>
      <c r="L404" s="8"/>
      <c r="M404" s="8"/>
      <c r="N404" s="8"/>
      <c r="O404" s="8"/>
    </row>
    <row r="405" spans="1:15" x14ac:dyDescent="0.25">
      <c r="A405" s="8"/>
      <c r="B405" s="27"/>
      <c r="C405" s="27"/>
      <c r="D405" s="27"/>
      <c r="E405" s="27"/>
      <c r="F405" s="8"/>
      <c r="G405" s="8"/>
      <c r="H405" s="8"/>
      <c r="I405" s="8"/>
      <c r="J405" s="8"/>
      <c r="K405" s="8"/>
      <c r="L405" s="8"/>
      <c r="M405" s="8"/>
      <c r="N405" s="8"/>
      <c r="O405" s="8"/>
    </row>
    <row r="406" spans="1:15" x14ac:dyDescent="0.25">
      <c r="A406" s="8"/>
      <c r="B406" s="27"/>
      <c r="C406" s="27"/>
      <c r="D406" s="27"/>
      <c r="E406" s="27"/>
      <c r="F406" s="8"/>
      <c r="G406" s="8"/>
      <c r="H406" s="8"/>
      <c r="I406" s="8"/>
      <c r="J406" s="8"/>
      <c r="K406" s="8"/>
      <c r="L406" s="8"/>
      <c r="M406" s="8"/>
      <c r="N406" s="8"/>
      <c r="O406" s="8"/>
    </row>
    <row r="407" spans="1:15" x14ac:dyDescent="0.25">
      <c r="A407" s="8"/>
      <c r="B407" s="27"/>
      <c r="C407" s="27"/>
      <c r="D407" s="27"/>
      <c r="E407" s="27"/>
      <c r="F407" s="8"/>
      <c r="G407" s="8"/>
      <c r="H407" s="8"/>
      <c r="I407" s="8"/>
      <c r="J407" s="8"/>
      <c r="K407" s="8"/>
      <c r="L407" s="8"/>
      <c r="M407" s="8"/>
      <c r="N407" s="8"/>
      <c r="O407" s="8"/>
    </row>
    <row r="408" spans="1:15" x14ac:dyDescent="0.25">
      <c r="A408" s="8"/>
      <c r="B408" s="27"/>
      <c r="C408" s="27"/>
      <c r="D408" s="27"/>
      <c r="E408" s="27"/>
      <c r="F408" s="8"/>
      <c r="G408" s="8"/>
      <c r="H408" s="8"/>
      <c r="I408" s="8"/>
      <c r="J408" s="8"/>
      <c r="K408" s="8"/>
      <c r="L408" s="8"/>
      <c r="M408" s="8"/>
      <c r="N408" s="8"/>
      <c r="O408" s="8"/>
    </row>
    <row r="409" spans="1:15" x14ac:dyDescent="0.25">
      <c r="A409" s="8"/>
      <c r="B409" s="27"/>
      <c r="C409" s="27"/>
      <c r="D409" s="27"/>
      <c r="E409" s="27"/>
      <c r="F409" s="8"/>
      <c r="G409" s="8"/>
      <c r="H409" s="8"/>
      <c r="I409" s="8"/>
      <c r="J409" s="8"/>
      <c r="K409" s="8"/>
      <c r="L409" s="8"/>
      <c r="M409" s="8"/>
      <c r="N409" s="8"/>
      <c r="O409" s="8"/>
    </row>
    <row r="410" spans="1:15" x14ac:dyDescent="0.25">
      <c r="A410" s="8"/>
      <c r="B410" s="27"/>
      <c r="C410" s="27"/>
      <c r="D410" s="27"/>
      <c r="E410" s="27"/>
      <c r="F410" s="8"/>
      <c r="G410" s="8"/>
      <c r="H410" s="8"/>
      <c r="I410" s="8"/>
      <c r="J410" s="8"/>
      <c r="K410" s="8"/>
      <c r="L410" s="8"/>
      <c r="M410" s="8"/>
      <c r="N410" s="8"/>
      <c r="O410" s="8"/>
    </row>
    <row r="411" spans="1:15" x14ac:dyDescent="0.25">
      <c r="A411" s="8"/>
      <c r="B411" s="27"/>
      <c r="C411" s="27"/>
      <c r="D411" s="27"/>
      <c r="E411" s="27"/>
      <c r="F411" s="8"/>
      <c r="G411" s="8"/>
      <c r="H411" s="8"/>
      <c r="I411" s="8"/>
      <c r="J411" s="8"/>
      <c r="K411" s="8"/>
      <c r="L411" s="8"/>
      <c r="M411" s="8"/>
      <c r="N411" s="8"/>
      <c r="O411" s="8"/>
    </row>
    <row r="412" spans="1:15" x14ac:dyDescent="0.25">
      <c r="A412" s="8"/>
      <c r="B412" s="27"/>
      <c r="C412" s="27"/>
      <c r="D412" s="27"/>
      <c r="E412" s="27"/>
      <c r="F412" s="8"/>
      <c r="G412" s="8"/>
      <c r="H412" s="8"/>
      <c r="I412" s="8"/>
      <c r="J412" s="8"/>
      <c r="K412" s="8"/>
      <c r="L412" s="8"/>
      <c r="M412" s="8"/>
      <c r="N412" s="8"/>
      <c r="O412" s="8"/>
    </row>
    <row r="413" spans="1:15" x14ac:dyDescent="0.25">
      <c r="A413" s="8"/>
      <c r="B413" s="27"/>
      <c r="C413" s="27"/>
      <c r="D413" s="27"/>
      <c r="E413" s="27"/>
      <c r="F413" s="8"/>
      <c r="G413" s="8"/>
      <c r="H413" s="8"/>
      <c r="I413" s="8"/>
      <c r="J413" s="8"/>
      <c r="K413" s="8"/>
      <c r="L413" s="8"/>
      <c r="M413" s="8"/>
      <c r="N413" s="8"/>
      <c r="O413" s="8"/>
    </row>
    <row r="414" spans="1:15" x14ac:dyDescent="0.25">
      <c r="A414" s="8"/>
      <c r="B414" s="27"/>
      <c r="C414" s="27"/>
      <c r="D414" s="27"/>
      <c r="E414" s="27"/>
      <c r="F414" s="8"/>
      <c r="G414" s="8"/>
      <c r="H414" s="8"/>
      <c r="I414" s="8"/>
      <c r="J414" s="8"/>
      <c r="K414" s="8"/>
      <c r="L414" s="8"/>
      <c r="M414" s="8"/>
      <c r="N414" s="8"/>
      <c r="O414" s="8"/>
    </row>
    <row r="415" spans="1:15" x14ac:dyDescent="0.25">
      <c r="A415" s="8"/>
      <c r="B415" s="27"/>
      <c r="C415" s="27"/>
      <c r="D415" s="27"/>
      <c r="E415" s="27"/>
      <c r="F415" s="8"/>
      <c r="G415" s="8"/>
      <c r="H415" s="8"/>
      <c r="I415" s="8"/>
      <c r="J415" s="8"/>
      <c r="K415" s="8"/>
      <c r="L415" s="8"/>
      <c r="M415" s="8"/>
      <c r="N415" s="8"/>
      <c r="O415" s="8"/>
    </row>
    <row r="416" spans="1:15" x14ac:dyDescent="0.25">
      <c r="A416" s="8"/>
      <c r="B416" s="27"/>
      <c r="C416" s="27"/>
      <c r="D416" s="27"/>
      <c r="E416" s="27"/>
      <c r="F416" s="8"/>
      <c r="G416" s="8"/>
      <c r="H416" s="8"/>
      <c r="I416" s="8"/>
      <c r="J416" s="8"/>
      <c r="K416" s="8"/>
      <c r="L416" s="8"/>
      <c r="M416" s="8"/>
      <c r="N416" s="8"/>
      <c r="O416" s="8"/>
    </row>
    <row r="417" spans="1:15" x14ac:dyDescent="0.25">
      <c r="A417" s="8"/>
      <c r="B417" s="27"/>
      <c r="C417" s="27"/>
      <c r="D417" s="27"/>
      <c r="E417" s="27"/>
      <c r="F417" s="8"/>
      <c r="G417" s="8"/>
      <c r="H417" s="8"/>
      <c r="I417" s="8"/>
      <c r="J417" s="8"/>
      <c r="K417" s="8"/>
      <c r="L417" s="8"/>
      <c r="M417" s="8"/>
      <c r="N417" s="8"/>
      <c r="O417" s="8"/>
    </row>
    <row r="418" spans="1:15" x14ac:dyDescent="0.25">
      <c r="A418" s="8"/>
      <c r="B418" s="27"/>
      <c r="C418" s="27"/>
      <c r="D418" s="27"/>
      <c r="E418" s="27"/>
      <c r="F418" s="8"/>
      <c r="G418" s="8"/>
      <c r="H418" s="8"/>
      <c r="I418" s="8"/>
      <c r="J418" s="8"/>
      <c r="K418" s="8"/>
      <c r="L418" s="8"/>
      <c r="M418" s="8"/>
      <c r="N418" s="8"/>
      <c r="O418" s="8"/>
    </row>
    <row r="419" spans="1:15" x14ac:dyDescent="0.25">
      <c r="A419" s="8"/>
      <c r="B419" s="27"/>
      <c r="C419" s="27"/>
      <c r="D419" s="27"/>
      <c r="E419" s="27"/>
      <c r="F419" s="8"/>
      <c r="G419" s="8"/>
      <c r="H419" s="8"/>
      <c r="I419" s="8"/>
      <c r="J419" s="8"/>
      <c r="K419" s="8"/>
      <c r="L419" s="8"/>
      <c r="M419" s="8"/>
      <c r="N419" s="8"/>
      <c r="O419" s="8"/>
    </row>
    <row r="420" spans="1:15" x14ac:dyDescent="0.25">
      <c r="A420" s="8"/>
      <c r="B420" s="27"/>
      <c r="C420" s="27"/>
      <c r="D420" s="27"/>
      <c r="E420" s="27"/>
      <c r="F420" s="8"/>
      <c r="G420" s="8"/>
      <c r="H420" s="8"/>
      <c r="I420" s="8"/>
      <c r="J420" s="8"/>
      <c r="K420" s="8"/>
      <c r="L420" s="8"/>
      <c r="M420" s="8"/>
      <c r="N420" s="8"/>
      <c r="O420" s="8"/>
    </row>
    <row r="421" spans="1:15" x14ac:dyDescent="0.25">
      <c r="A421" s="8"/>
      <c r="B421" s="27"/>
      <c r="C421" s="27"/>
      <c r="D421" s="27"/>
      <c r="E421" s="27"/>
      <c r="F421" s="8"/>
      <c r="G421" s="8"/>
      <c r="H421" s="8"/>
      <c r="I421" s="8"/>
      <c r="J421" s="8"/>
      <c r="K421" s="8"/>
      <c r="L421" s="8"/>
      <c r="M421" s="8"/>
      <c r="N421" s="8"/>
      <c r="O421" s="8"/>
    </row>
    <row r="422" spans="1:15" x14ac:dyDescent="0.25">
      <c r="A422" s="8"/>
      <c r="B422" s="27"/>
      <c r="C422" s="27"/>
      <c r="D422" s="27"/>
      <c r="E422" s="27"/>
      <c r="F422" s="8"/>
      <c r="G422" s="8"/>
      <c r="H422" s="8"/>
      <c r="I422" s="8"/>
      <c r="J422" s="8"/>
      <c r="K422" s="8"/>
      <c r="L422" s="8"/>
      <c r="M422" s="8"/>
      <c r="N422" s="8"/>
      <c r="O422" s="8"/>
    </row>
    <row r="423" spans="1:15" x14ac:dyDescent="0.25">
      <c r="A423" s="8"/>
      <c r="B423" s="27"/>
      <c r="C423" s="27"/>
      <c r="D423" s="27"/>
      <c r="E423" s="27"/>
      <c r="F423" s="8"/>
      <c r="G423" s="8"/>
      <c r="H423" s="8"/>
      <c r="I423" s="8"/>
      <c r="J423" s="8"/>
      <c r="K423" s="8"/>
      <c r="L423" s="8"/>
      <c r="M423" s="8"/>
      <c r="N423" s="8"/>
      <c r="O423" s="8"/>
    </row>
    <row r="424" spans="1:15" x14ac:dyDescent="0.25">
      <c r="A424" s="8"/>
      <c r="B424" s="27"/>
      <c r="C424" s="27"/>
      <c r="D424" s="27"/>
      <c r="E424" s="27"/>
      <c r="F424" s="8"/>
      <c r="G424" s="8"/>
      <c r="H424" s="8"/>
      <c r="I424" s="8"/>
      <c r="J424" s="8"/>
      <c r="K424" s="8"/>
      <c r="L424" s="8"/>
      <c r="M424" s="8"/>
      <c r="N424" s="8"/>
      <c r="O424" s="8"/>
    </row>
    <row r="425" spans="1:15" x14ac:dyDescent="0.25">
      <c r="A425" s="8"/>
      <c r="B425" s="27"/>
      <c r="C425" s="27"/>
      <c r="D425" s="27"/>
      <c r="E425" s="27"/>
      <c r="F425" s="8"/>
      <c r="G425" s="8"/>
      <c r="H425" s="8"/>
      <c r="I425" s="8"/>
      <c r="J425" s="8"/>
      <c r="K425" s="8"/>
      <c r="L425" s="8"/>
      <c r="M425" s="8"/>
      <c r="N425" s="8"/>
      <c r="O425" s="8"/>
    </row>
    <row r="426" spans="1:15" x14ac:dyDescent="0.25">
      <c r="A426" s="8"/>
      <c r="B426" s="27"/>
      <c r="C426" s="27"/>
      <c r="D426" s="27"/>
      <c r="E426" s="27"/>
      <c r="F426" s="8"/>
      <c r="G426" s="8"/>
      <c r="H426" s="8"/>
      <c r="I426" s="8"/>
      <c r="J426" s="8"/>
      <c r="K426" s="8"/>
      <c r="L426" s="8"/>
      <c r="M426" s="8"/>
      <c r="N426" s="8"/>
      <c r="O426" s="8"/>
    </row>
    <row r="427" spans="1:15" x14ac:dyDescent="0.25">
      <c r="A427" s="8"/>
      <c r="B427" s="27"/>
      <c r="C427" s="27"/>
      <c r="D427" s="27"/>
      <c r="E427" s="27"/>
      <c r="F427" s="8"/>
      <c r="G427" s="8"/>
      <c r="H427" s="8"/>
      <c r="I427" s="8"/>
      <c r="J427" s="8"/>
      <c r="K427" s="8"/>
      <c r="L427" s="8"/>
      <c r="M427" s="8"/>
      <c r="N427" s="8"/>
      <c r="O427" s="8"/>
    </row>
    <row r="428" spans="1:15" x14ac:dyDescent="0.25">
      <c r="A428" s="8"/>
      <c r="B428" s="27"/>
      <c r="C428" s="27"/>
      <c r="D428" s="27"/>
      <c r="E428" s="27"/>
      <c r="F428" s="8"/>
      <c r="G428" s="8"/>
      <c r="H428" s="8"/>
      <c r="I428" s="8"/>
      <c r="J428" s="8"/>
      <c r="K428" s="8"/>
      <c r="L428" s="8"/>
      <c r="M428" s="8"/>
      <c r="N428" s="8"/>
      <c r="O428" s="8"/>
    </row>
    <row r="429" spans="1:15" x14ac:dyDescent="0.25">
      <c r="A429" s="8"/>
      <c r="B429" s="27"/>
      <c r="C429" s="27"/>
      <c r="D429" s="27"/>
      <c r="E429" s="27"/>
      <c r="F429" s="8"/>
      <c r="G429" s="8"/>
      <c r="H429" s="8"/>
      <c r="I429" s="8"/>
      <c r="J429" s="8"/>
      <c r="K429" s="8"/>
      <c r="L429" s="8"/>
      <c r="M429" s="8"/>
      <c r="N429" s="8"/>
      <c r="O429" s="8"/>
    </row>
    <row r="430" spans="1:15" x14ac:dyDescent="0.25">
      <c r="A430" s="8"/>
      <c r="B430" s="27"/>
      <c r="C430" s="27"/>
      <c r="D430" s="27"/>
      <c r="E430" s="27"/>
      <c r="F430" s="8"/>
      <c r="G430" s="8"/>
      <c r="H430" s="8"/>
      <c r="I430" s="8"/>
      <c r="J430" s="8"/>
      <c r="K430" s="8"/>
      <c r="L430" s="8"/>
      <c r="M430" s="8"/>
      <c r="N430" s="8"/>
      <c r="O430" s="8"/>
    </row>
    <row r="431" spans="1:15" x14ac:dyDescent="0.25">
      <c r="A431" s="8"/>
      <c r="B431" s="27"/>
      <c r="C431" s="27"/>
      <c r="D431" s="27"/>
      <c r="E431" s="27"/>
      <c r="F431" s="8"/>
      <c r="G431" s="8"/>
      <c r="H431" s="8"/>
      <c r="I431" s="8"/>
      <c r="J431" s="8"/>
      <c r="K431" s="8"/>
      <c r="L431" s="8"/>
      <c r="M431" s="8"/>
      <c r="N431" s="8"/>
      <c r="O431" s="8"/>
    </row>
    <row r="432" spans="1:15" x14ac:dyDescent="0.25">
      <c r="A432" s="8"/>
      <c r="B432" s="27"/>
      <c r="C432" s="27"/>
      <c r="D432" s="27"/>
      <c r="E432" s="27"/>
      <c r="F432" s="8"/>
      <c r="G432" s="8"/>
      <c r="H432" s="8"/>
      <c r="I432" s="8"/>
      <c r="J432" s="8"/>
      <c r="K432" s="8"/>
      <c r="L432" s="8"/>
      <c r="M432" s="8"/>
      <c r="N432" s="8"/>
      <c r="O432" s="8"/>
    </row>
    <row r="433" spans="1:15" x14ac:dyDescent="0.25">
      <c r="A433" s="8"/>
      <c r="B433" s="27"/>
      <c r="C433" s="27"/>
      <c r="D433" s="27"/>
      <c r="E433" s="27"/>
      <c r="F433" s="8"/>
      <c r="G433" s="8"/>
      <c r="H433" s="8"/>
      <c r="I433" s="8"/>
      <c r="J433" s="8"/>
      <c r="K433" s="8"/>
      <c r="L433" s="8"/>
      <c r="M433" s="8"/>
      <c r="N433" s="8"/>
      <c r="O433" s="8"/>
    </row>
    <row r="434" spans="1:15" x14ac:dyDescent="0.25">
      <c r="A434" s="8"/>
      <c r="B434" s="27"/>
      <c r="C434" s="27"/>
      <c r="D434" s="27"/>
      <c r="E434" s="27"/>
      <c r="F434" s="8"/>
      <c r="G434" s="8"/>
      <c r="H434" s="8"/>
      <c r="I434" s="8"/>
      <c r="J434" s="8"/>
      <c r="K434" s="8"/>
      <c r="L434" s="8"/>
      <c r="M434" s="8"/>
      <c r="N434" s="8"/>
      <c r="O434" s="8"/>
    </row>
    <row r="435" spans="1:15" x14ac:dyDescent="0.25">
      <c r="A435" s="8"/>
      <c r="B435" s="27"/>
      <c r="C435" s="27"/>
      <c r="D435" s="27"/>
      <c r="E435" s="27"/>
      <c r="F435" s="8"/>
      <c r="G435" s="8"/>
      <c r="H435" s="8"/>
      <c r="I435" s="8"/>
      <c r="J435" s="8"/>
      <c r="K435" s="8"/>
      <c r="L435" s="8"/>
      <c r="M435" s="8"/>
      <c r="N435" s="8"/>
      <c r="O435" s="8"/>
    </row>
    <row r="436" spans="1:15" x14ac:dyDescent="0.25">
      <c r="A436" s="8"/>
      <c r="B436" s="27"/>
      <c r="C436" s="27"/>
      <c r="D436" s="27"/>
      <c r="E436" s="27"/>
      <c r="F436" s="8"/>
      <c r="G436" s="8"/>
      <c r="H436" s="8"/>
      <c r="I436" s="8"/>
      <c r="J436" s="8"/>
      <c r="K436" s="8"/>
      <c r="L436" s="8"/>
      <c r="M436" s="8"/>
      <c r="N436" s="8"/>
      <c r="O436" s="8"/>
    </row>
    <row r="437" spans="1:15" x14ac:dyDescent="0.25">
      <c r="A437" s="8"/>
      <c r="B437" s="27"/>
      <c r="C437" s="27"/>
      <c r="D437" s="27"/>
      <c r="E437" s="27"/>
      <c r="F437" s="8"/>
      <c r="G437" s="8"/>
      <c r="H437" s="8"/>
      <c r="I437" s="8"/>
      <c r="J437" s="8"/>
      <c r="K437" s="8"/>
      <c r="L437" s="8"/>
      <c r="M437" s="8"/>
      <c r="N437" s="8"/>
      <c r="O437" s="8"/>
    </row>
    <row r="438" spans="1:15" x14ac:dyDescent="0.25">
      <c r="A438" s="8"/>
      <c r="B438" s="27"/>
      <c r="C438" s="27"/>
      <c r="D438" s="27"/>
      <c r="E438" s="27"/>
      <c r="F438" s="8"/>
      <c r="G438" s="8"/>
      <c r="H438" s="8"/>
      <c r="I438" s="8"/>
      <c r="J438" s="8"/>
      <c r="K438" s="8"/>
      <c r="L438" s="8"/>
      <c r="M438" s="8"/>
      <c r="N438" s="8"/>
      <c r="O438" s="8"/>
    </row>
    <row r="439" spans="1:15" x14ac:dyDescent="0.25">
      <c r="A439" s="8"/>
      <c r="B439" s="27"/>
      <c r="C439" s="27"/>
      <c r="D439" s="27"/>
      <c r="E439" s="27"/>
      <c r="F439" s="8"/>
      <c r="G439" s="8"/>
      <c r="H439" s="8"/>
      <c r="I439" s="8"/>
      <c r="J439" s="8"/>
      <c r="K439" s="8"/>
      <c r="L439" s="8"/>
      <c r="M439" s="8"/>
      <c r="N439" s="8"/>
      <c r="O439" s="8"/>
    </row>
    <row r="440" spans="1:15" x14ac:dyDescent="0.25">
      <c r="A440" s="8"/>
      <c r="B440" s="27"/>
      <c r="C440" s="27"/>
      <c r="D440" s="27"/>
      <c r="E440" s="27"/>
      <c r="F440" s="8"/>
      <c r="G440" s="8"/>
      <c r="H440" s="8"/>
      <c r="I440" s="8"/>
      <c r="J440" s="8"/>
      <c r="K440" s="8"/>
      <c r="L440" s="8"/>
      <c r="M440" s="8"/>
      <c r="N440" s="8"/>
      <c r="O440" s="8"/>
    </row>
    <row r="441" spans="1:15" x14ac:dyDescent="0.25">
      <c r="A441" s="8"/>
      <c r="B441" s="27"/>
      <c r="C441" s="27"/>
      <c r="D441" s="27"/>
      <c r="E441" s="27"/>
      <c r="F441" s="8"/>
      <c r="G441" s="8"/>
      <c r="H441" s="8"/>
      <c r="I441" s="8"/>
      <c r="J441" s="8"/>
      <c r="K441" s="8"/>
      <c r="L441" s="8"/>
      <c r="M441" s="8"/>
      <c r="N441" s="8"/>
      <c r="O441" s="8"/>
    </row>
    <row r="442" spans="1:15" x14ac:dyDescent="0.25">
      <c r="A442" s="8"/>
      <c r="B442" s="27"/>
      <c r="C442" s="27"/>
      <c r="D442" s="27"/>
      <c r="E442" s="27"/>
      <c r="F442" s="8"/>
      <c r="G442" s="8"/>
      <c r="H442" s="8"/>
      <c r="I442" s="8"/>
      <c r="J442" s="8"/>
      <c r="K442" s="8"/>
      <c r="L442" s="8"/>
      <c r="M442" s="8"/>
      <c r="N442" s="8"/>
      <c r="O442" s="8"/>
    </row>
    <row r="443" spans="1:15" x14ac:dyDescent="0.25">
      <c r="A443" s="8"/>
      <c r="B443" s="27"/>
      <c r="C443" s="27"/>
      <c r="D443" s="27"/>
      <c r="E443" s="27"/>
      <c r="F443" s="8"/>
      <c r="G443" s="8"/>
      <c r="H443" s="8"/>
      <c r="I443" s="8"/>
      <c r="J443" s="8"/>
      <c r="K443" s="8"/>
      <c r="L443" s="8"/>
      <c r="M443" s="8"/>
      <c r="N443" s="8"/>
      <c r="O443" s="8"/>
    </row>
    <row r="444" spans="1:15" x14ac:dyDescent="0.25">
      <c r="A444" s="8"/>
      <c r="B444" s="27"/>
      <c r="C444" s="27"/>
      <c r="D444" s="27"/>
      <c r="E444" s="27"/>
      <c r="F444" s="8"/>
      <c r="G444" s="8"/>
      <c r="H444" s="8"/>
      <c r="I444" s="8"/>
      <c r="J444" s="8"/>
      <c r="K444" s="8"/>
      <c r="L444" s="8"/>
      <c r="M444" s="8"/>
      <c r="N444" s="8"/>
      <c r="O444" s="8"/>
    </row>
    <row r="445" spans="1:15" x14ac:dyDescent="0.25">
      <c r="A445" s="8"/>
      <c r="B445" s="27"/>
      <c r="C445" s="27"/>
      <c r="D445" s="27"/>
      <c r="E445" s="27"/>
      <c r="F445" s="8"/>
      <c r="G445" s="8"/>
      <c r="H445" s="8"/>
      <c r="I445" s="8"/>
      <c r="J445" s="8"/>
      <c r="K445" s="8"/>
      <c r="L445" s="8"/>
      <c r="M445" s="8"/>
      <c r="N445" s="8"/>
      <c r="O445" s="8"/>
    </row>
    <row r="446" spans="1:15" x14ac:dyDescent="0.25">
      <c r="A446" s="8"/>
      <c r="B446" s="27"/>
      <c r="C446" s="27"/>
      <c r="D446" s="27"/>
      <c r="E446" s="27"/>
      <c r="F446" s="8"/>
      <c r="G446" s="8"/>
      <c r="H446" s="8"/>
      <c r="I446" s="8"/>
      <c r="J446" s="8"/>
      <c r="K446" s="8"/>
      <c r="L446" s="8"/>
      <c r="M446" s="8"/>
      <c r="N446" s="8"/>
      <c r="O446" s="8"/>
    </row>
    <row r="447" spans="1:15" x14ac:dyDescent="0.25">
      <c r="A447" s="8"/>
      <c r="B447" s="27"/>
      <c r="C447" s="27"/>
      <c r="D447" s="27"/>
      <c r="E447" s="27"/>
      <c r="F447" s="8"/>
      <c r="G447" s="8"/>
      <c r="H447" s="8"/>
      <c r="I447" s="8"/>
      <c r="J447" s="8"/>
      <c r="K447" s="8"/>
      <c r="L447" s="8"/>
      <c r="M447" s="8"/>
      <c r="N447" s="8"/>
      <c r="O447" s="8"/>
    </row>
    <row r="448" spans="1:15" x14ac:dyDescent="0.25">
      <c r="A448" s="8"/>
      <c r="B448" s="27"/>
      <c r="C448" s="27"/>
      <c r="D448" s="27"/>
      <c r="E448" s="27"/>
      <c r="F448" s="8"/>
      <c r="G448" s="8"/>
      <c r="H448" s="8"/>
      <c r="I448" s="8"/>
      <c r="J448" s="8"/>
      <c r="K448" s="8"/>
      <c r="L448" s="8"/>
      <c r="M448" s="8"/>
      <c r="N448" s="8"/>
      <c r="O448" s="8"/>
    </row>
    <row r="449" spans="1:15" x14ac:dyDescent="0.25">
      <c r="A449" s="8"/>
      <c r="B449" s="27"/>
      <c r="C449" s="27"/>
      <c r="D449" s="27"/>
      <c r="E449" s="27"/>
      <c r="F449" s="8"/>
      <c r="G449" s="8"/>
      <c r="H449" s="8"/>
      <c r="I449" s="8"/>
      <c r="J449" s="8"/>
      <c r="K449" s="8"/>
      <c r="L449" s="8"/>
      <c r="M449" s="8"/>
      <c r="N449" s="8"/>
      <c r="O449" s="8"/>
    </row>
    <row r="450" spans="1:15" x14ac:dyDescent="0.25">
      <c r="A450" s="8"/>
      <c r="B450" s="27"/>
      <c r="C450" s="27"/>
      <c r="D450" s="27"/>
      <c r="E450" s="27"/>
      <c r="F450" s="8"/>
      <c r="G450" s="8"/>
      <c r="H450" s="8"/>
      <c r="I450" s="8"/>
      <c r="J450" s="8"/>
      <c r="K450" s="8"/>
      <c r="L450" s="8"/>
      <c r="M450" s="8"/>
      <c r="N450" s="8"/>
      <c r="O450" s="8"/>
    </row>
    <row r="451" spans="1:15" x14ac:dyDescent="0.25">
      <c r="A451" s="8"/>
      <c r="B451" s="27"/>
      <c r="C451" s="27"/>
      <c r="D451" s="27"/>
      <c r="E451" s="27"/>
      <c r="F451" s="8"/>
      <c r="G451" s="8"/>
      <c r="H451" s="8"/>
      <c r="I451" s="8"/>
      <c r="J451" s="8"/>
      <c r="K451" s="8"/>
      <c r="L451" s="8"/>
      <c r="M451" s="8"/>
      <c r="N451" s="8"/>
      <c r="O451" s="8"/>
    </row>
    <row r="452" spans="1:15" x14ac:dyDescent="0.25">
      <c r="A452" s="8"/>
      <c r="B452" s="27"/>
      <c r="C452" s="27"/>
      <c r="D452" s="27"/>
      <c r="E452" s="27"/>
      <c r="F452" s="8"/>
      <c r="G452" s="8"/>
      <c r="H452" s="8"/>
      <c r="I452" s="8"/>
      <c r="J452" s="8"/>
      <c r="K452" s="8"/>
      <c r="L452" s="8"/>
      <c r="M452" s="8"/>
      <c r="N452" s="8"/>
      <c r="O452" s="8"/>
    </row>
    <row r="453" spans="1:15" x14ac:dyDescent="0.25">
      <c r="A453" s="8"/>
      <c r="B453" s="27"/>
      <c r="C453" s="27"/>
      <c r="D453" s="27"/>
      <c r="E453" s="27"/>
      <c r="F453" s="8"/>
      <c r="G453" s="8"/>
      <c r="H453" s="8"/>
      <c r="I453" s="8"/>
      <c r="J453" s="8"/>
      <c r="K453" s="8"/>
      <c r="L453" s="8"/>
      <c r="M453" s="8"/>
      <c r="N453" s="8"/>
      <c r="O453" s="8"/>
    </row>
    <row r="454" spans="1:15" x14ac:dyDescent="0.25">
      <c r="A454" s="8"/>
      <c r="B454" s="27"/>
      <c r="C454" s="27"/>
      <c r="D454" s="27"/>
      <c r="E454" s="27"/>
      <c r="F454" s="8"/>
      <c r="G454" s="8"/>
      <c r="H454" s="8"/>
      <c r="I454" s="8"/>
      <c r="J454" s="8"/>
      <c r="K454" s="8"/>
      <c r="L454" s="8"/>
      <c r="M454" s="8"/>
      <c r="N454" s="8"/>
      <c r="O454" s="8"/>
    </row>
    <row r="455" spans="1:15" x14ac:dyDescent="0.25">
      <c r="A455" s="8"/>
      <c r="B455" s="27"/>
      <c r="C455" s="27"/>
      <c r="D455" s="27"/>
      <c r="E455" s="27"/>
      <c r="F455" s="8"/>
      <c r="G455" s="8"/>
      <c r="H455" s="8"/>
      <c r="I455" s="8"/>
      <c r="J455" s="8"/>
      <c r="K455" s="8"/>
      <c r="L455" s="8"/>
      <c r="M455" s="8"/>
      <c r="N455" s="8"/>
      <c r="O455" s="8"/>
    </row>
    <row r="456" spans="1:15" x14ac:dyDescent="0.25">
      <c r="A456" s="8"/>
      <c r="B456" s="27"/>
      <c r="C456" s="27"/>
      <c r="D456" s="27"/>
      <c r="E456" s="27"/>
      <c r="F456" s="8"/>
      <c r="G456" s="8"/>
      <c r="H456" s="8"/>
      <c r="I456" s="8"/>
      <c r="J456" s="8"/>
      <c r="K456" s="8"/>
      <c r="L456" s="8"/>
      <c r="M456" s="8"/>
      <c r="N456" s="8"/>
      <c r="O456" s="8"/>
    </row>
    <row r="457" spans="1:15" x14ac:dyDescent="0.25">
      <c r="A457" s="8"/>
      <c r="B457" s="27"/>
      <c r="C457" s="27"/>
      <c r="D457" s="27"/>
      <c r="E457" s="27"/>
      <c r="F457" s="8"/>
      <c r="G457" s="8"/>
      <c r="H457" s="8"/>
      <c r="I457" s="8"/>
      <c r="J457" s="8"/>
      <c r="K457" s="8"/>
      <c r="L457" s="8"/>
      <c r="M457" s="8"/>
      <c r="N457" s="8"/>
      <c r="O457" s="8"/>
    </row>
    <row r="458" spans="1:15" x14ac:dyDescent="0.25">
      <c r="A458" s="8"/>
      <c r="B458" s="27"/>
      <c r="C458" s="27"/>
      <c r="D458" s="27"/>
      <c r="E458" s="27"/>
      <c r="F458" s="8"/>
      <c r="G458" s="8"/>
      <c r="H458" s="8"/>
      <c r="I458" s="8"/>
      <c r="J458" s="8"/>
      <c r="K458" s="8"/>
      <c r="L458" s="8"/>
      <c r="M458" s="8"/>
      <c r="N458" s="8"/>
      <c r="O458" s="8"/>
    </row>
    <row r="459" spans="1:15" x14ac:dyDescent="0.25">
      <c r="A459" s="8"/>
      <c r="B459" s="27"/>
      <c r="C459" s="27"/>
      <c r="D459" s="27"/>
      <c r="E459" s="27"/>
      <c r="F459" s="8"/>
      <c r="G459" s="8"/>
      <c r="H459" s="8"/>
      <c r="I459" s="8"/>
      <c r="J459" s="8"/>
      <c r="K459" s="8"/>
      <c r="L459" s="8"/>
      <c r="M459" s="8"/>
      <c r="N459" s="8"/>
      <c r="O459" s="8"/>
    </row>
    <row r="460" spans="1:15" x14ac:dyDescent="0.25">
      <c r="A460" s="8"/>
      <c r="B460" s="27"/>
      <c r="C460" s="27"/>
      <c r="D460" s="27"/>
      <c r="E460" s="27"/>
      <c r="F460" s="8"/>
      <c r="G460" s="8"/>
      <c r="H460" s="8"/>
      <c r="I460" s="8"/>
      <c r="J460" s="8"/>
      <c r="K460" s="8"/>
      <c r="L460" s="8"/>
      <c r="M460" s="8"/>
      <c r="N460" s="8"/>
      <c r="O460" s="8"/>
    </row>
    <row r="461" spans="1:15" x14ac:dyDescent="0.25">
      <c r="A461" s="8"/>
      <c r="B461" s="27"/>
      <c r="C461" s="27"/>
      <c r="D461" s="27"/>
      <c r="E461" s="27"/>
      <c r="F461" s="8"/>
      <c r="G461" s="8"/>
      <c r="H461" s="8"/>
      <c r="I461" s="8"/>
      <c r="J461" s="8"/>
      <c r="K461" s="8"/>
      <c r="L461" s="8"/>
      <c r="M461" s="8"/>
      <c r="N461" s="8"/>
      <c r="O461" s="8"/>
    </row>
    <row r="462" spans="1:15" x14ac:dyDescent="0.25">
      <c r="A462" s="8"/>
      <c r="B462" s="27"/>
      <c r="C462" s="27"/>
      <c r="D462" s="27"/>
      <c r="E462" s="27"/>
      <c r="F462" s="8"/>
      <c r="G462" s="8"/>
      <c r="H462" s="8"/>
      <c r="I462" s="8"/>
      <c r="J462" s="8"/>
      <c r="K462" s="8"/>
      <c r="L462" s="8"/>
      <c r="M462" s="8"/>
      <c r="N462" s="8"/>
      <c r="O462" s="8"/>
    </row>
    <row r="463" spans="1:15" x14ac:dyDescent="0.25">
      <c r="A463" s="8"/>
      <c r="B463" s="27"/>
      <c r="C463" s="27"/>
      <c r="D463" s="27"/>
      <c r="E463" s="27"/>
      <c r="F463" s="8"/>
      <c r="G463" s="8"/>
      <c r="H463" s="8"/>
      <c r="I463" s="8"/>
      <c r="J463" s="8"/>
      <c r="K463" s="8"/>
      <c r="L463" s="8"/>
      <c r="M463" s="8"/>
      <c r="N463" s="8"/>
      <c r="O463" s="8"/>
    </row>
    <row r="464" spans="1:15" x14ac:dyDescent="0.25">
      <c r="A464" s="8"/>
      <c r="B464" s="27"/>
      <c r="C464" s="27"/>
      <c r="D464" s="27"/>
      <c r="E464" s="27"/>
      <c r="F464" s="8"/>
      <c r="G464" s="8"/>
      <c r="H464" s="8"/>
      <c r="I464" s="8"/>
      <c r="J464" s="8"/>
      <c r="K464" s="8"/>
      <c r="L464" s="8"/>
      <c r="M464" s="8"/>
      <c r="N464" s="8"/>
      <c r="O464" s="8"/>
    </row>
    <row r="465" spans="1:15" x14ac:dyDescent="0.25">
      <c r="A465" s="8"/>
      <c r="B465" s="27"/>
      <c r="C465" s="27"/>
      <c r="D465" s="27"/>
      <c r="E465" s="27"/>
      <c r="F465" s="8"/>
      <c r="G465" s="8"/>
      <c r="H465" s="8"/>
      <c r="I465" s="8"/>
      <c r="J465" s="8"/>
      <c r="K465" s="8"/>
      <c r="L465" s="8"/>
      <c r="M465" s="8"/>
      <c r="N465" s="8"/>
      <c r="O465" s="8"/>
    </row>
    <row r="466" spans="1:15" x14ac:dyDescent="0.25">
      <c r="A466" s="8"/>
      <c r="B466" s="27"/>
      <c r="C466" s="27"/>
      <c r="D466" s="27"/>
      <c r="E466" s="27"/>
      <c r="F466" s="8"/>
      <c r="G466" s="8"/>
      <c r="H466" s="8"/>
      <c r="I466" s="8"/>
      <c r="J466" s="8"/>
      <c r="K466" s="8"/>
      <c r="L466" s="8"/>
      <c r="M466" s="8"/>
      <c r="N466" s="8"/>
      <c r="O466" s="8"/>
    </row>
    <row r="467" spans="1:15" x14ac:dyDescent="0.25">
      <c r="A467" s="8"/>
      <c r="B467" s="27"/>
      <c r="C467" s="27"/>
      <c r="D467" s="27"/>
      <c r="E467" s="27"/>
      <c r="F467" s="8"/>
      <c r="G467" s="8"/>
      <c r="H467" s="8"/>
      <c r="I467" s="8"/>
      <c r="J467" s="8"/>
      <c r="K467" s="8"/>
      <c r="L467" s="8"/>
      <c r="M467" s="8"/>
      <c r="N467" s="8"/>
      <c r="O467" s="8"/>
    </row>
    <row r="468" spans="1:15" x14ac:dyDescent="0.25">
      <c r="A468" s="8"/>
      <c r="B468" s="27"/>
      <c r="C468" s="27"/>
      <c r="D468" s="27"/>
      <c r="E468" s="27"/>
      <c r="F468" s="8"/>
      <c r="G468" s="8"/>
      <c r="H468" s="8"/>
      <c r="I468" s="8"/>
      <c r="J468" s="8"/>
      <c r="K468" s="8"/>
      <c r="L468" s="8"/>
      <c r="M468" s="8"/>
      <c r="N468" s="8"/>
      <c r="O468" s="8"/>
    </row>
    <row r="469" spans="1:15" x14ac:dyDescent="0.25">
      <c r="A469" s="8"/>
      <c r="B469" s="27"/>
      <c r="C469" s="27"/>
      <c r="D469" s="27"/>
      <c r="E469" s="27"/>
      <c r="F469" s="8"/>
      <c r="G469" s="8"/>
      <c r="H469" s="8"/>
      <c r="I469" s="8"/>
      <c r="J469" s="8"/>
      <c r="K469" s="8"/>
      <c r="L469" s="8"/>
      <c r="M469" s="8"/>
      <c r="N469" s="8"/>
      <c r="O469" s="8"/>
    </row>
    <row r="470" spans="1:15" x14ac:dyDescent="0.25">
      <c r="A470" s="8"/>
      <c r="B470" s="27"/>
      <c r="C470" s="27"/>
      <c r="D470" s="27"/>
      <c r="E470" s="27"/>
      <c r="F470" s="8"/>
      <c r="G470" s="8"/>
      <c r="H470" s="8"/>
      <c r="I470" s="8"/>
      <c r="J470" s="8"/>
      <c r="K470" s="8"/>
      <c r="L470" s="8"/>
      <c r="M470" s="8"/>
      <c r="N470" s="8"/>
      <c r="O470" s="8"/>
    </row>
    <row r="471" spans="1:15" x14ac:dyDescent="0.25">
      <c r="A471" s="8"/>
      <c r="B471" s="27"/>
      <c r="C471" s="27"/>
      <c r="D471" s="27"/>
      <c r="E471" s="27"/>
      <c r="F471" s="8"/>
      <c r="G471" s="8"/>
      <c r="H471" s="8"/>
      <c r="I471" s="8"/>
      <c r="J471" s="8"/>
      <c r="K471" s="8"/>
      <c r="L471" s="8"/>
      <c r="M471" s="8"/>
      <c r="N471" s="8"/>
      <c r="O471" s="8"/>
    </row>
    <row r="472" spans="1:15" x14ac:dyDescent="0.25">
      <c r="A472" s="8"/>
      <c r="B472" s="27"/>
      <c r="C472" s="27"/>
      <c r="D472" s="27"/>
      <c r="E472" s="27"/>
      <c r="F472" s="8"/>
      <c r="G472" s="8"/>
      <c r="H472" s="8"/>
      <c r="I472" s="8"/>
      <c r="J472" s="8"/>
      <c r="K472" s="8"/>
      <c r="L472" s="8"/>
      <c r="M472" s="8"/>
      <c r="N472" s="8"/>
      <c r="O472" s="8"/>
    </row>
    <row r="473" spans="1:15" x14ac:dyDescent="0.25">
      <c r="A473" s="8"/>
      <c r="B473" s="27"/>
      <c r="C473" s="27"/>
      <c r="D473" s="27"/>
      <c r="E473" s="27"/>
      <c r="F473" s="8"/>
      <c r="G473" s="8"/>
      <c r="H473" s="8"/>
      <c r="I473" s="8"/>
      <c r="J473" s="8"/>
      <c r="K473" s="8"/>
      <c r="L473" s="8"/>
      <c r="M473" s="8"/>
      <c r="N473" s="8"/>
      <c r="O473" s="8"/>
    </row>
    <row r="474" spans="1:15" x14ac:dyDescent="0.25">
      <c r="A474" s="8"/>
      <c r="B474" s="27"/>
      <c r="C474" s="27"/>
      <c r="D474" s="27"/>
      <c r="E474" s="27"/>
      <c r="F474" s="8"/>
      <c r="G474" s="8"/>
      <c r="H474" s="8"/>
      <c r="I474" s="8"/>
      <c r="J474" s="8"/>
      <c r="K474" s="8"/>
      <c r="L474" s="8"/>
      <c r="M474" s="8"/>
      <c r="N474" s="8"/>
      <c r="O474" s="8"/>
    </row>
    <row r="475" spans="1:15" x14ac:dyDescent="0.25">
      <c r="A475" s="8"/>
      <c r="B475" s="27"/>
      <c r="C475" s="27"/>
      <c r="D475" s="27"/>
      <c r="E475" s="27"/>
      <c r="F475" s="8"/>
      <c r="G475" s="8"/>
      <c r="H475" s="8"/>
      <c r="I475" s="8"/>
      <c r="J475" s="8"/>
      <c r="K475" s="8"/>
      <c r="L475" s="8"/>
      <c r="M475" s="8"/>
      <c r="N475" s="8"/>
      <c r="O475" s="8"/>
    </row>
    <row r="476" spans="1:15" x14ac:dyDescent="0.25">
      <c r="A476" s="8"/>
      <c r="B476" s="27"/>
      <c r="C476" s="27"/>
      <c r="D476" s="27"/>
      <c r="E476" s="27"/>
      <c r="F476" s="8"/>
      <c r="G476" s="8"/>
      <c r="H476" s="8"/>
      <c r="I476" s="8"/>
      <c r="J476" s="8"/>
      <c r="K476" s="8"/>
      <c r="L476" s="8"/>
      <c r="M476" s="8"/>
      <c r="N476" s="8"/>
      <c r="O476" s="8"/>
    </row>
    <row r="477" spans="1:15" x14ac:dyDescent="0.25">
      <c r="A477" s="8"/>
      <c r="B477" s="27"/>
      <c r="C477" s="27"/>
      <c r="D477" s="27"/>
      <c r="E477" s="27"/>
      <c r="F477" s="8"/>
      <c r="G477" s="8"/>
      <c r="H477" s="8"/>
      <c r="I477" s="8"/>
      <c r="J477" s="8"/>
      <c r="K477" s="8"/>
      <c r="L477" s="8"/>
      <c r="M477" s="8"/>
      <c r="N477" s="8"/>
      <c r="O477" s="8"/>
    </row>
    <row r="478" spans="1:15" x14ac:dyDescent="0.25">
      <c r="A478" s="8"/>
      <c r="B478" s="27"/>
      <c r="C478" s="27"/>
      <c r="D478" s="27"/>
      <c r="E478" s="27"/>
      <c r="F478" s="8"/>
      <c r="G478" s="8"/>
      <c r="H478" s="8"/>
      <c r="I478" s="8"/>
      <c r="J478" s="8"/>
      <c r="K478" s="8"/>
      <c r="L478" s="8"/>
      <c r="M478" s="8"/>
      <c r="N478" s="8"/>
      <c r="O478" s="8"/>
    </row>
    <row r="479" spans="1:15" x14ac:dyDescent="0.25">
      <c r="A479" s="8"/>
      <c r="B479" s="27"/>
      <c r="C479" s="27"/>
      <c r="D479" s="27"/>
      <c r="E479" s="27"/>
      <c r="F479" s="8"/>
      <c r="G479" s="8"/>
      <c r="H479" s="8"/>
      <c r="I479" s="8"/>
      <c r="J479" s="8"/>
      <c r="K479" s="8"/>
      <c r="L479" s="8"/>
      <c r="M479" s="8"/>
      <c r="N479" s="8"/>
      <c r="O479" s="8"/>
    </row>
    <row r="480" spans="1:15" x14ac:dyDescent="0.25">
      <c r="A480" s="8"/>
      <c r="B480" s="27"/>
      <c r="C480" s="27"/>
      <c r="D480" s="27"/>
      <c r="E480" s="27"/>
      <c r="F480" s="8"/>
      <c r="G480" s="8"/>
      <c r="H480" s="8"/>
      <c r="I480" s="8"/>
      <c r="J480" s="8"/>
      <c r="K480" s="8"/>
      <c r="L480" s="8"/>
      <c r="M480" s="8"/>
      <c r="N480" s="8"/>
      <c r="O480" s="8"/>
    </row>
    <row r="481" spans="1:15" x14ac:dyDescent="0.25">
      <c r="A481" s="8"/>
      <c r="B481" s="27"/>
      <c r="C481" s="27"/>
      <c r="D481" s="27"/>
      <c r="E481" s="27"/>
      <c r="F481" s="8"/>
      <c r="G481" s="8"/>
      <c r="H481" s="8"/>
      <c r="I481" s="8"/>
      <c r="J481" s="8"/>
      <c r="K481" s="8"/>
      <c r="L481" s="8"/>
      <c r="M481" s="8"/>
      <c r="N481" s="8"/>
      <c r="O481" s="8"/>
    </row>
    <row r="482" spans="1:15" x14ac:dyDescent="0.25">
      <c r="A482" s="8"/>
      <c r="B482" s="27"/>
      <c r="C482" s="27"/>
      <c r="D482" s="27"/>
      <c r="E482" s="27"/>
      <c r="F482" s="8"/>
      <c r="G482" s="8"/>
      <c r="H482" s="8"/>
      <c r="I482" s="8"/>
      <c r="J482" s="8"/>
      <c r="K482" s="8"/>
      <c r="L482" s="8"/>
      <c r="M482" s="8"/>
      <c r="N482" s="8"/>
      <c r="O482" s="8"/>
    </row>
    <row r="483" spans="1:15" x14ac:dyDescent="0.25">
      <c r="A483" s="8"/>
      <c r="B483" s="27"/>
      <c r="C483" s="27"/>
      <c r="D483" s="27"/>
      <c r="E483" s="27"/>
      <c r="F483" s="8"/>
      <c r="G483" s="8"/>
      <c r="H483" s="8"/>
      <c r="I483" s="8"/>
      <c r="J483" s="8"/>
      <c r="K483" s="8"/>
      <c r="L483" s="8"/>
      <c r="M483" s="8"/>
      <c r="N483" s="8"/>
      <c r="O483" s="8"/>
    </row>
    <row r="484" spans="1:15" x14ac:dyDescent="0.25">
      <c r="A484" s="8"/>
      <c r="B484" s="27"/>
      <c r="C484" s="27"/>
      <c r="D484" s="27"/>
      <c r="E484" s="27"/>
      <c r="F484" s="8"/>
      <c r="G484" s="8"/>
      <c r="H484" s="8"/>
      <c r="I484" s="8"/>
      <c r="J484" s="8"/>
      <c r="K484" s="8"/>
      <c r="L484" s="8"/>
      <c r="M484" s="8"/>
      <c r="N484" s="8"/>
      <c r="O484" s="8"/>
    </row>
    <row r="485" spans="1:15" x14ac:dyDescent="0.25">
      <c r="A485" s="8"/>
      <c r="B485" s="27"/>
      <c r="C485" s="27"/>
      <c r="D485" s="27"/>
      <c r="E485" s="27"/>
      <c r="F485" s="8"/>
      <c r="G485" s="8"/>
      <c r="H485" s="8"/>
      <c r="I485" s="8"/>
      <c r="J485" s="8"/>
      <c r="K485" s="8"/>
      <c r="L485" s="8"/>
      <c r="M485" s="8"/>
      <c r="N485" s="8"/>
      <c r="O485" s="8"/>
    </row>
    <row r="486" spans="1:15" x14ac:dyDescent="0.25">
      <c r="A486" s="8"/>
      <c r="B486" s="27"/>
      <c r="C486" s="27"/>
      <c r="D486" s="27"/>
      <c r="E486" s="27"/>
      <c r="F486" s="8"/>
      <c r="G486" s="8"/>
      <c r="H486" s="8"/>
      <c r="I486" s="8"/>
      <c r="J486" s="8"/>
      <c r="K486" s="8"/>
      <c r="L486" s="8"/>
      <c r="M486" s="8"/>
      <c r="N486" s="8"/>
      <c r="O486" s="8"/>
    </row>
    <row r="487" spans="1:15" x14ac:dyDescent="0.25">
      <c r="A487" s="8"/>
      <c r="B487" s="27"/>
      <c r="C487" s="27"/>
      <c r="D487" s="27"/>
      <c r="E487" s="27"/>
      <c r="F487" s="8"/>
      <c r="G487" s="8"/>
      <c r="H487" s="8"/>
      <c r="I487" s="8"/>
      <c r="J487" s="8"/>
      <c r="K487" s="8"/>
      <c r="L487" s="8"/>
      <c r="M487" s="8"/>
      <c r="N487" s="8"/>
      <c r="O487" s="8"/>
    </row>
    <row r="488" spans="1:15" x14ac:dyDescent="0.25">
      <c r="A488" s="8"/>
      <c r="B488" s="27"/>
      <c r="C488" s="27"/>
      <c r="D488" s="27"/>
      <c r="E488" s="27"/>
      <c r="F488" s="8"/>
      <c r="G488" s="8"/>
      <c r="H488" s="8"/>
      <c r="I488" s="8"/>
      <c r="J488" s="8"/>
      <c r="K488" s="8"/>
      <c r="L488" s="8"/>
      <c r="M488" s="8"/>
      <c r="N488" s="8"/>
      <c r="O488" s="8"/>
    </row>
    <row r="489" spans="1:15" x14ac:dyDescent="0.25">
      <c r="A489" s="8"/>
      <c r="B489" s="27"/>
      <c r="C489" s="27"/>
      <c r="D489" s="27"/>
      <c r="E489" s="27"/>
      <c r="F489" s="8"/>
      <c r="G489" s="8"/>
      <c r="H489" s="8"/>
      <c r="I489" s="8"/>
      <c r="J489" s="8"/>
      <c r="K489" s="8"/>
      <c r="L489" s="8"/>
      <c r="M489" s="8"/>
      <c r="N489" s="8"/>
      <c r="O489" s="8"/>
    </row>
    <row r="490" spans="1:15" x14ac:dyDescent="0.25">
      <c r="A490" s="8"/>
      <c r="B490" s="27"/>
      <c r="C490" s="27"/>
      <c r="D490" s="27"/>
      <c r="E490" s="27"/>
      <c r="F490" s="8"/>
      <c r="G490" s="8"/>
      <c r="H490" s="8"/>
      <c r="I490" s="8"/>
      <c r="J490" s="8"/>
      <c r="K490" s="8"/>
      <c r="L490" s="8"/>
      <c r="M490" s="8"/>
      <c r="N490" s="8"/>
      <c r="O490" s="8"/>
    </row>
    <row r="491" spans="1:15" x14ac:dyDescent="0.25">
      <c r="A491" s="8"/>
      <c r="B491" s="27"/>
      <c r="C491" s="27"/>
      <c r="D491" s="27"/>
      <c r="E491" s="27"/>
      <c r="F491" s="8"/>
      <c r="G491" s="8"/>
      <c r="H491" s="8"/>
      <c r="I491" s="8"/>
      <c r="J491" s="8"/>
      <c r="K491" s="8"/>
      <c r="L491" s="8"/>
      <c r="M491" s="8"/>
      <c r="N491" s="8"/>
      <c r="O491" s="8"/>
    </row>
    <row r="492" spans="1:15" x14ac:dyDescent="0.25">
      <c r="A492" s="8"/>
      <c r="B492" s="27"/>
      <c r="C492" s="27"/>
      <c r="D492" s="27"/>
      <c r="E492" s="27"/>
      <c r="F492" s="8"/>
      <c r="G492" s="8"/>
      <c r="H492" s="8"/>
      <c r="I492" s="8"/>
      <c r="J492" s="8"/>
      <c r="K492" s="8"/>
      <c r="L492" s="8"/>
      <c r="M492" s="8"/>
      <c r="N492" s="8"/>
      <c r="O492" s="8"/>
    </row>
    <row r="493" spans="1:15" x14ac:dyDescent="0.25">
      <c r="A493" s="8"/>
      <c r="B493" s="27"/>
      <c r="C493" s="27"/>
      <c r="D493" s="27"/>
      <c r="E493" s="27"/>
      <c r="F493" s="8"/>
      <c r="G493" s="8"/>
      <c r="H493" s="8"/>
      <c r="I493" s="8"/>
      <c r="J493" s="8"/>
      <c r="K493" s="8"/>
      <c r="L493" s="8"/>
      <c r="M493" s="8"/>
      <c r="N493" s="8"/>
      <c r="O493" s="8"/>
    </row>
    <row r="494" spans="1:15" x14ac:dyDescent="0.25">
      <c r="A494" s="8"/>
      <c r="B494" s="27"/>
      <c r="C494" s="27"/>
      <c r="D494" s="27"/>
      <c r="E494" s="27"/>
      <c r="F494" s="8"/>
      <c r="G494" s="8"/>
      <c r="H494" s="8"/>
      <c r="I494" s="8"/>
      <c r="J494" s="8"/>
      <c r="K494" s="8"/>
      <c r="L494" s="8"/>
      <c r="M494" s="8"/>
      <c r="N494" s="8"/>
      <c r="O494" s="8"/>
    </row>
    <row r="495" spans="1:15" x14ac:dyDescent="0.25">
      <c r="A495" s="8"/>
      <c r="B495" s="27"/>
      <c r="C495" s="27"/>
      <c r="D495" s="27"/>
      <c r="E495" s="27"/>
      <c r="F495" s="8"/>
      <c r="G495" s="8"/>
      <c r="H495" s="8"/>
      <c r="I495" s="8"/>
      <c r="J495" s="8"/>
      <c r="K495" s="8"/>
      <c r="L495" s="8"/>
      <c r="M495" s="8"/>
      <c r="N495" s="8"/>
      <c r="O495" s="8"/>
    </row>
    <row r="496" spans="1:15" x14ac:dyDescent="0.25">
      <c r="A496" s="8"/>
      <c r="B496" s="27"/>
      <c r="C496" s="27"/>
      <c r="D496" s="27"/>
      <c r="E496" s="27"/>
      <c r="F496" s="8"/>
      <c r="G496" s="8"/>
      <c r="H496" s="8"/>
      <c r="I496" s="8"/>
      <c r="J496" s="8"/>
      <c r="K496" s="8"/>
      <c r="L496" s="8"/>
      <c r="M496" s="8"/>
      <c r="N496" s="8"/>
      <c r="O496" s="8"/>
    </row>
    <row r="497" spans="1:15" x14ac:dyDescent="0.25">
      <c r="A497" s="8"/>
      <c r="B497" s="27"/>
      <c r="C497" s="27"/>
      <c r="D497" s="27"/>
      <c r="E497" s="27"/>
      <c r="F497" s="8"/>
      <c r="G497" s="8"/>
      <c r="H497" s="8"/>
      <c r="I497" s="8"/>
      <c r="J497" s="8"/>
      <c r="K497" s="8"/>
      <c r="L497" s="8"/>
      <c r="M497" s="8"/>
      <c r="N497" s="8"/>
      <c r="O497" s="8"/>
    </row>
    <row r="498" spans="1:15" x14ac:dyDescent="0.25">
      <c r="A498" s="8"/>
      <c r="B498" s="27"/>
      <c r="C498" s="27"/>
      <c r="D498" s="27"/>
      <c r="E498" s="27"/>
      <c r="F498" s="8"/>
      <c r="G498" s="8"/>
      <c r="H498" s="8"/>
      <c r="I498" s="8"/>
      <c r="J498" s="8"/>
      <c r="K498" s="8"/>
      <c r="L498" s="8"/>
      <c r="M498" s="8"/>
      <c r="N498" s="8"/>
      <c r="O498" s="8"/>
    </row>
    <row r="499" spans="1:15" x14ac:dyDescent="0.25">
      <c r="A499" s="8"/>
      <c r="B499" s="27"/>
      <c r="C499" s="27"/>
      <c r="D499" s="27"/>
      <c r="E499" s="27"/>
      <c r="F499" s="8"/>
      <c r="G499" s="8"/>
      <c r="H499" s="8"/>
      <c r="I499" s="8"/>
      <c r="J499" s="8"/>
      <c r="K499" s="8"/>
      <c r="L499" s="8"/>
      <c r="M499" s="8"/>
      <c r="N499" s="8"/>
      <c r="O499" s="8"/>
    </row>
    <row r="500" spans="1:15" x14ac:dyDescent="0.25">
      <c r="A500" s="8"/>
      <c r="B500" s="27"/>
      <c r="C500" s="27"/>
      <c r="D500" s="27"/>
      <c r="E500" s="27"/>
      <c r="F500" s="8"/>
      <c r="G500" s="8"/>
      <c r="H500" s="8"/>
      <c r="I500" s="8"/>
      <c r="J500" s="8"/>
      <c r="K500" s="8"/>
      <c r="L500" s="8"/>
      <c r="M500" s="8"/>
      <c r="N500" s="8"/>
      <c r="O500" s="8"/>
    </row>
    <row r="501" spans="1:15" x14ac:dyDescent="0.25">
      <c r="A501" s="8"/>
      <c r="B501" s="27"/>
      <c r="C501" s="27"/>
      <c r="D501" s="27"/>
      <c r="E501" s="27"/>
      <c r="F501" s="8"/>
      <c r="G501" s="8"/>
      <c r="H501" s="8"/>
      <c r="I501" s="8"/>
      <c r="J501" s="8"/>
      <c r="K501" s="8"/>
      <c r="L501" s="8"/>
      <c r="M501" s="8"/>
      <c r="N501" s="8"/>
      <c r="O501" s="8"/>
    </row>
    <row r="502" spans="1:15" x14ac:dyDescent="0.25">
      <c r="A502" s="8"/>
      <c r="B502" s="27"/>
      <c r="C502" s="27"/>
      <c r="D502" s="27"/>
      <c r="E502" s="27"/>
      <c r="F502" s="8"/>
      <c r="G502" s="8"/>
      <c r="H502" s="8"/>
      <c r="I502" s="8"/>
      <c r="J502" s="8"/>
      <c r="K502" s="8"/>
      <c r="L502" s="8"/>
      <c r="M502" s="8"/>
      <c r="N502" s="8"/>
      <c r="O502" s="8"/>
    </row>
    <row r="503" spans="1:15" x14ac:dyDescent="0.25">
      <c r="A503" s="8"/>
      <c r="B503" s="27"/>
      <c r="C503" s="27"/>
      <c r="D503" s="27"/>
      <c r="E503" s="27"/>
      <c r="F503" s="8"/>
      <c r="G503" s="8"/>
      <c r="H503" s="8"/>
      <c r="I503" s="8"/>
      <c r="J503" s="8"/>
      <c r="K503" s="8"/>
      <c r="L503" s="8"/>
      <c r="M503" s="8"/>
      <c r="N503" s="8"/>
      <c r="O503" s="8"/>
    </row>
    <row r="504" spans="1:15" x14ac:dyDescent="0.25">
      <c r="A504" s="8"/>
      <c r="B504" s="27"/>
      <c r="C504" s="27"/>
      <c r="D504" s="27"/>
      <c r="E504" s="27"/>
      <c r="F504" s="8"/>
      <c r="G504" s="8"/>
      <c r="H504" s="8"/>
      <c r="I504" s="8"/>
      <c r="J504" s="8"/>
      <c r="K504" s="8"/>
      <c r="L504" s="8"/>
      <c r="M504" s="8"/>
      <c r="N504" s="8"/>
      <c r="O504" s="8"/>
    </row>
    <row r="505" spans="1:15" x14ac:dyDescent="0.25">
      <c r="A505" s="8"/>
      <c r="B505" s="27"/>
      <c r="C505" s="27"/>
      <c r="D505" s="27"/>
      <c r="E505" s="27"/>
      <c r="F505" s="8"/>
      <c r="G505" s="8"/>
      <c r="H505" s="8"/>
      <c r="I505" s="8"/>
      <c r="J505" s="8"/>
      <c r="K505" s="8"/>
      <c r="L505" s="8"/>
      <c r="M505" s="8"/>
      <c r="N505" s="8"/>
      <c r="O505" s="8"/>
    </row>
    <row r="506" spans="1:15" x14ac:dyDescent="0.25">
      <c r="A506" s="8"/>
      <c r="B506" s="27"/>
      <c r="C506" s="27"/>
      <c r="D506" s="27"/>
      <c r="E506" s="27"/>
      <c r="F506" s="8"/>
      <c r="G506" s="8"/>
      <c r="H506" s="8"/>
      <c r="I506" s="8"/>
      <c r="J506" s="8"/>
      <c r="K506" s="8"/>
      <c r="L506" s="8"/>
      <c r="M506" s="8"/>
      <c r="N506" s="8"/>
      <c r="O506" s="8"/>
    </row>
    <row r="507" spans="1:15" x14ac:dyDescent="0.25">
      <c r="A507" s="8"/>
      <c r="B507" s="27"/>
      <c r="C507" s="27"/>
      <c r="D507" s="27"/>
      <c r="E507" s="27"/>
      <c r="F507" s="8"/>
      <c r="G507" s="8"/>
      <c r="H507" s="8"/>
      <c r="I507" s="8"/>
      <c r="J507" s="8"/>
      <c r="K507" s="8"/>
      <c r="L507" s="8"/>
      <c r="M507" s="8"/>
      <c r="N507" s="8"/>
      <c r="O507" s="8"/>
    </row>
    <row r="508" spans="1:15" x14ac:dyDescent="0.25">
      <c r="A508" s="8"/>
      <c r="B508" s="27"/>
      <c r="C508" s="27"/>
      <c r="D508" s="27"/>
      <c r="E508" s="27"/>
      <c r="F508" s="8"/>
      <c r="G508" s="8"/>
      <c r="H508" s="8"/>
      <c r="I508" s="8"/>
      <c r="J508" s="8"/>
      <c r="K508" s="8"/>
      <c r="L508" s="8"/>
      <c r="M508" s="8"/>
      <c r="N508" s="8"/>
      <c r="O508" s="8"/>
    </row>
    <row r="509" spans="1:15" x14ac:dyDescent="0.25">
      <c r="A509" s="8"/>
      <c r="B509" s="27"/>
      <c r="C509" s="27"/>
      <c r="D509" s="27"/>
      <c r="E509" s="27"/>
      <c r="F509" s="8"/>
      <c r="G509" s="8"/>
      <c r="H509" s="8"/>
      <c r="I509" s="8"/>
      <c r="J509" s="8"/>
      <c r="K509" s="8"/>
      <c r="L509" s="8"/>
      <c r="M509" s="8"/>
      <c r="N509" s="8"/>
      <c r="O509" s="8"/>
    </row>
    <row r="510" spans="1:15" x14ac:dyDescent="0.25">
      <c r="A510" s="8"/>
      <c r="B510" s="27"/>
      <c r="C510" s="27"/>
      <c r="D510" s="27"/>
      <c r="E510" s="27"/>
      <c r="F510" s="8"/>
      <c r="G510" s="8"/>
      <c r="H510" s="8"/>
      <c r="I510" s="8"/>
      <c r="J510" s="8"/>
      <c r="K510" s="8"/>
      <c r="L510" s="8"/>
      <c r="M510" s="8"/>
      <c r="N510" s="8"/>
      <c r="O510" s="8"/>
    </row>
    <row r="511" spans="1:15" x14ac:dyDescent="0.25">
      <c r="A511" s="8"/>
      <c r="B511" s="27"/>
      <c r="C511" s="27"/>
      <c r="D511" s="27"/>
      <c r="E511" s="27"/>
      <c r="F511" s="8"/>
      <c r="G511" s="8"/>
      <c r="H511" s="8"/>
      <c r="I511" s="8"/>
      <c r="J511" s="8"/>
      <c r="K511" s="8"/>
      <c r="L511" s="8"/>
      <c r="M511" s="8"/>
      <c r="N511" s="8"/>
      <c r="O511" s="8"/>
    </row>
    <row r="512" spans="1:15" x14ac:dyDescent="0.25">
      <c r="A512" s="8"/>
      <c r="B512" s="27"/>
      <c r="C512" s="27"/>
      <c r="D512" s="27"/>
      <c r="E512" s="27"/>
      <c r="F512" s="8"/>
      <c r="G512" s="8"/>
      <c r="H512" s="8"/>
      <c r="I512" s="8"/>
      <c r="J512" s="8"/>
      <c r="K512" s="8"/>
      <c r="L512" s="8"/>
      <c r="M512" s="8"/>
      <c r="N512" s="8"/>
      <c r="O512" s="8"/>
    </row>
    <row r="513" spans="1:15" x14ac:dyDescent="0.25">
      <c r="A513" s="8"/>
      <c r="B513" s="27"/>
      <c r="C513" s="27"/>
      <c r="D513" s="27"/>
      <c r="E513" s="27"/>
      <c r="F513" s="8"/>
      <c r="G513" s="8"/>
      <c r="H513" s="8"/>
      <c r="I513" s="8"/>
      <c r="J513" s="8"/>
      <c r="K513" s="8"/>
      <c r="L513" s="8"/>
      <c r="M513" s="8"/>
      <c r="N513" s="8"/>
      <c r="O513" s="8"/>
    </row>
    <row r="514" spans="1:15" x14ac:dyDescent="0.25">
      <c r="A514" s="8"/>
      <c r="B514" s="27"/>
      <c r="C514" s="27"/>
      <c r="D514" s="27"/>
      <c r="E514" s="27"/>
      <c r="F514" s="8"/>
      <c r="G514" s="8"/>
      <c r="H514" s="8"/>
      <c r="I514" s="8"/>
      <c r="J514" s="8"/>
      <c r="K514" s="8"/>
      <c r="L514" s="8"/>
      <c r="M514" s="8"/>
      <c r="N514" s="8"/>
      <c r="O514" s="8"/>
    </row>
    <row r="515" spans="1:15" x14ac:dyDescent="0.25">
      <c r="A515" s="8"/>
      <c r="B515" s="27"/>
      <c r="C515" s="27"/>
      <c r="D515" s="27"/>
      <c r="E515" s="27"/>
      <c r="F515" s="8"/>
      <c r="G515" s="8"/>
      <c r="H515" s="8"/>
      <c r="I515" s="8"/>
      <c r="J515" s="8"/>
      <c r="K515" s="8"/>
      <c r="L515" s="8"/>
      <c r="M515" s="8"/>
      <c r="N515" s="8"/>
      <c r="O515" s="8"/>
    </row>
    <row r="516" spans="1:15" x14ac:dyDescent="0.25">
      <c r="A516" s="8"/>
      <c r="B516" s="27"/>
      <c r="C516" s="27"/>
      <c r="D516" s="27"/>
      <c r="E516" s="27"/>
      <c r="F516" s="8"/>
      <c r="G516" s="8"/>
      <c r="H516" s="8"/>
      <c r="I516" s="8"/>
      <c r="J516" s="8"/>
      <c r="K516" s="8"/>
      <c r="L516" s="8"/>
      <c r="M516" s="8"/>
      <c r="N516" s="8"/>
      <c r="O516" s="8"/>
    </row>
    <row r="517" spans="1:15" x14ac:dyDescent="0.25">
      <c r="A517" s="8"/>
      <c r="B517" s="27"/>
      <c r="C517" s="27"/>
      <c r="D517" s="27"/>
      <c r="E517" s="27"/>
      <c r="F517" s="8"/>
      <c r="G517" s="8"/>
      <c r="H517" s="8"/>
      <c r="I517" s="8"/>
      <c r="J517" s="8"/>
      <c r="K517" s="8"/>
      <c r="L517" s="8"/>
      <c r="M517" s="8"/>
      <c r="N517" s="8"/>
      <c r="O517" s="8"/>
    </row>
    <row r="518" spans="1:15" x14ac:dyDescent="0.25">
      <c r="A518" s="8"/>
      <c r="B518" s="27"/>
      <c r="C518" s="27"/>
      <c r="D518" s="27"/>
      <c r="E518" s="27"/>
      <c r="F518" s="8"/>
      <c r="G518" s="8"/>
      <c r="H518" s="8"/>
      <c r="I518" s="8"/>
      <c r="J518" s="8"/>
      <c r="K518" s="8"/>
      <c r="L518" s="8"/>
      <c r="M518" s="8"/>
      <c r="N518" s="8"/>
      <c r="O518" s="8"/>
    </row>
    <row r="519" spans="1:15" x14ac:dyDescent="0.25">
      <c r="A519" s="8"/>
      <c r="B519" s="27"/>
      <c r="C519" s="27"/>
      <c r="D519" s="27"/>
      <c r="E519" s="27"/>
      <c r="F519" s="8"/>
      <c r="G519" s="8"/>
      <c r="H519" s="8"/>
      <c r="I519" s="8"/>
      <c r="J519" s="8"/>
      <c r="K519" s="8"/>
      <c r="L519" s="8"/>
      <c r="M519" s="8"/>
      <c r="N519" s="8"/>
      <c r="O519" s="8"/>
    </row>
    <row r="520" spans="1:15" x14ac:dyDescent="0.25">
      <c r="A520" s="8"/>
      <c r="B520" s="27"/>
      <c r="C520" s="27"/>
      <c r="D520" s="27"/>
      <c r="E520" s="27"/>
      <c r="F520" s="8"/>
      <c r="G520" s="8"/>
      <c r="H520" s="8"/>
      <c r="I520" s="8"/>
      <c r="J520" s="8"/>
      <c r="K520" s="8"/>
      <c r="L520" s="8"/>
      <c r="M520" s="8"/>
      <c r="N520" s="8"/>
      <c r="O520" s="8"/>
    </row>
    <row r="521" spans="1:15" x14ac:dyDescent="0.25">
      <c r="A521" s="8"/>
      <c r="B521" s="27"/>
      <c r="C521" s="27"/>
      <c r="D521" s="27"/>
      <c r="E521" s="27"/>
      <c r="F521" s="8"/>
      <c r="G521" s="8"/>
      <c r="H521" s="8"/>
      <c r="I521" s="8"/>
      <c r="J521" s="8"/>
      <c r="K521" s="8"/>
      <c r="L521" s="8"/>
      <c r="M521" s="8"/>
      <c r="N521" s="8"/>
      <c r="O521" s="8"/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dient_descent">
                <anchor moveWithCells="1" sizeWithCells="1">
                  <from>
                    <xdr:col>15</xdr:col>
                    <xdr:colOff>142875</xdr:colOff>
                    <xdr:row>21</xdr:row>
                    <xdr:rowOff>133350</xdr:rowOff>
                  </from>
                  <to>
                    <xdr:col>17</xdr:col>
                    <xdr:colOff>342900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ld">
                <anchor moveWithCells="1" sizeWithCells="1">
                  <from>
                    <xdr:col>17</xdr:col>
                    <xdr:colOff>552450</xdr:colOff>
                    <xdr:row>21</xdr:row>
                    <xdr:rowOff>114300</xdr:rowOff>
                  </from>
                  <to>
                    <xdr:col>19</xdr:col>
                    <xdr:colOff>438150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art_zeros">
                <anchor moveWithCells="1" sizeWithCells="1">
                  <from>
                    <xdr:col>19</xdr:col>
                    <xdr:colOff>590550</xdr:colOff>
                    <xdr:row>21</xdr:row>
                    <xdr:rowOff>142875</xdr:rowOff>
                  </from>
                  <to>
                    <xdr:col>22</xdr:col>
                    <xdr:colOff>466725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Sheet1</vt:lpstr>
      <vt:lpstr>Sheet2</vt:lpstr>
      <vt:lpstr>Sheet2!avg_loss</vt:lpstr>
      <vt:lpstr>avg_loss</vt:lpstr>
      <vt:lpstr>Sheet2!b_curr</vt:lpstr>
      <vt:lpstr>b_curr</vt:lpstr>
      <vt:lpstr>Sheet2!b_deriv</vt:lpstr>
      <vt:lpstr>b_deriv</vt:lpstr>
      <vt:lpstr>Sheet2!b_i</vt:lpstr>
      <vt:lpstr>b_i</vt:lpstr>
      <vt:lpstr>Sheet2!iter</vt:lpstr>
      <vt:lpstr>iter</vt:lpstr>
      <vt:lpstr>Sheet2!iterations</vt:lpstr>
      <vt:lpstr>iterations</vt:lpstr>
      <vt:lpstr>Sheet2!learning_rate</vt:lpstr>
      <vt:lpstr>learning_rate</vt:lpstr>
      <vt:lpstr>Sheet2!loss</vt:lpstr>
      <vt:lpstr>loss</vt:lpstr>
      <vt:lpstr>Sheet2!loss_i</vt:lpstr>
      <vt:lpstr>loss_i</vt:lpstr>
      <vt:lpstr>Sheet2!loss_sqrd</vt:lpstr>
      <vt:lpstr>loss_sqrd</vt:lpstr>
      <vt:lpstr>Sheet2!m_curr</vt:lpstr>
      <vt:lpstr>m_curr</vt:lpstr>
      <vt:lpstr>Sheet2!m_deriv</vt:lpstr>
      <vt:lpstr>m_deriv</vt:lpstr>
      <vt:lpstr>Sheet2!m_i</vt:lpstr>
      <vt:lpstr>m_i</vt:lpstr>
      <vt:lpstr>Sheet2!x_act</vt:lpstr>
      <vt:lpstr>x_act</vt:lpstr>
      <vt:lpstr>Sheet2!x_times_loss</vt:lpstr>
      <vt:lpstr>x_times_loss</vt:lpstr>
      <vt:lpstr>Sheet2!y_act</vt:lpstr>
      <vt:lpstr>y_act</vt:lpstr>
      <vt:lpstr>Sheet2!y_pred</vt:lpstr>
      <vt:lpstr>y_pred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Ley, Alexander</dc:creator>
  <cp:lastModifiedBy>Ley, Alexander</cp:lastModifiedBy>
  <dcterms:created xsi:type="dcterms:W3CDTF">2019-01-27T20:46:26Z</dcterms:created>
  <dcterms:modified xsi:type="dcterms:W3CDTF">2019-02-02T08:52:21Z</dcterms:modified>
</cp:coreProperties>
</file>